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anthiumAutomation\Projects\2024\P2401_PI_GCP_RCP_ADDC\Procurement\"/>
    </mc:Choice>
  </mc:AlternateContent>
  <xr:revisionPtr revIDLastSave="0" documentId="13_ncr:1_{847618DC-92B2-4AFA-8052-9B6B9B8BCD7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Purchase Order " sheetId="1" r:id="rId1"/>
    <sheet name="BOM_SE" sheetId="4" r:id="rId2"/>
    <sheet name="VL" sheetId="2" r:id="rId3"/>
    <sheet name="Poduct_ServiceGroup" sheetId="3" r:id="rId4"/>
  </sheets>
  <definedNames>
    <definedName name="PG">Poduct_ServiceGroup!$B$3:$B$63</definedName>
    <definedName name="TAB_PG">Poduct_ServiceGroup!$B$3:$C$63</definedName>
    <definedName name="TAB_VEN">VL!$A$2:$N$48</definedName>
    <definedName name="TAB_VN">VL!$A$3:$A$48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4" l="1"/>
  <c r="F5" i="1" l="1"/>
  <c r="D16" i="1" l="1"/>
  <c r="C8" i="2"/>
  <c r="C7" i="2"/>
  <c r="C6" i="2" l="1"/>
  <c r="G7" i="4"/>
  <c r="G6" i="4"/>
  <c r="G10" i="4"/>
  <c r="G9" i="4"/>
  <c r="G8" i="4"/>
  <c r="G4" i="4"/>
  <c r="G3" i="4"/>
  <c r="G19" i="4" s="1"/>
  <c r="A18" i="1"/>
  <c r="C5" i="2"/>
  <c r="C4" i="2"/>
  <c r="F34" i="1"/>
  <c r="F10" i="1"/>
  <c r="F14" i="1"/>
  <c r="A14" i="1"/>
  <c r="D14" i="1"/>
  <c r="C14" i="1"/>
  <c r="A12" i="1"/>
  <c r="A10" i="1"/>
  <c r="D49" i="2"/>
  <c r="C3" i="2"/>
  <c r="G30" i="1" l="1"/>
  <c r="G29" i="1"/>
  <c r="G27" i="1"/>
  <c r="G28" i="1"/>
  <c r="G20" i="4" l="1"/>
  <c r="G21" i="4" s="1"/>
  <c r="G31" i="1" l="1"/>
  <c r="F20" i="1"/>
  <c r="G20" i="1" s="1"/>
  <c r="G33" i="1" l="1"/>
  <c r="G32" i="1"/>
  <c r="G34" i="1" s="1"/>
</calcChain>
</file>

<file path=xl/sharedStrings.xml><?xml version="1.0" encoding="utf-8"?>
<sst xmlns="http://schemas.openxmlformats.org/spreadsheetml/2006/main" count="218" uniqueCount="193">
  <si>
    <t>Unit Price</t>
  </si>
  <si>
    <t>Total</t>
  </si>
  <si>
    <t>PURCHASE ORDER</t>
  </si>
  <si>
    <t>Item No.</t>
  </si>
  <si>
    <t>Quantity</t>
  </si>
  <si>
    <t>DATE:</t>
  </si>
  <si>
    <t>EMAIL ADDRESS</t>
  </si>
  <si>
    <t>SALES PERSON</t>
  </si>
  <si>
    <t>VENDOR NAME</t>
  </si>
  <si>
    <t>VENDOR INFORMATION</t>
  </si>
  <si>
    <t>ADDRESS</t>
  </si>
  <si>
    <t>Subtotal</t>
  </si>
  <si>
    <t>Additional Notes:</t>
  </si>
  <si>
    <t>Discount (%)</t>
  </si>
  <si>
    <t>Authorized By</t>
  </si>
  <si>
    <t>Unit</t>
  </si>
  <si>
    <t>Description</t>
  </si>
  <si>
    <t>Junaid Ukaye</t>
  </si>
  <si>
    <t>Managing Director</t>
  </si>
  <si>
    <t xml:space="preserve">PROJECT NUMBER </t>
  </si>
  <si>
    <t>Total Price</t>
  </si>
  <si>
    <t>VENDOR NUMBER</t>
  </si>
  <si>
    <t xml:space="preserve">CURRENCY </t>
  </si>
  <si>
    <t>Item Code</t>
  </si>
  <si>
    <t xml:space="preserve">MOBILE NUMBER </t>
  </si>
  <si>
    <t>VAT (%)</t>
  </si>
  <si>
    <t>DELIVERY LOCATION</t>
  </si>
  <si>
    <t xml:space="preserve">PAYMENT TERMS </t>
  </si>
  <si>
    <t>INCOTERMS</t>
  </si>
  <si>
    <t>DELIVERY DATE</t>
  </si>
  <si>
    <t xml:space="preserve">VENDOR TRN NUMBER </t>
  </si>
  <si>
    <t>CONTACT NUMBER</t>
  </si>
  <si>
    <t>AED</t>
  </si>
  <si>
    <t>Prepared By</t>
  </si>
  <si>
    <t>Approved Vendor List</t>
  </si>
  <si>
    <t>Vendor No.</t>
  </si>
  <si>
    <t>Product /Service Group</t>
  </si>
  <si>
    <t>Vendor Name</t>
  </si>
  <si>
    <t>VAT No.</t>
  </si>
  <si>
    <t>OEM/ Make</t>
  </si>
  <si>
    <t>Contact Name</t>
  </si>
  <si>
    <t>Mobile No.</t>
  </si>
  <si>
    <t>Address</t>
  </si>
  <si>
    <t>Country</t>
  </si>
  <si>
    <t xml:space="preserve">Phone </t>
  </si>
  <si>
    <t>Email</t>
  </si>
  <si>
    <t>Payment Terms</t>
  </si>
  <si>
    <t>Remarks</t>
  </si>
  <si>
    <t>V2001</t>
  </si>
  <si>
    <t>Beauty World Decor</t>
  </si>
  <si>
    <t>100059497600003</t>
  </si>
  <si>
    <t>Afzal</t>
  </si>
  <si>
    <t>+97150 7774231</t>
  </si>
  <si>
    <t>P.O.Box 51778, Abu Dhabi, U.A.E.</t>
  </si>
  <si>
    <t>UAE</t>
  </si>
  <si>
    <t xml:space="preserve">+971 2 6761276  </t>
  </si>
  <si>
    <t>Product / Service Categories</t>
  </si>
  <si>
    <t>COST CODE</t>
  </si>
  <si>
    <t>DESCRIPTION</t>
  </si>
  <si>
    <t>Mechanical Equipment</t>
  </si>
  <si>
    <t>HAVC Systems</t>
  </si>
  <si>
    <t>Air Compressors</t>
  </si>
  <si>
    <t>Pipes &amp; Fittings</t>
  </si>
  <si>
    <t>Water / HAVC Pumps</t>
  </si>
  <si>
    <t>Gas &amp; water meters</t>
  </si>
  <si>
    <t>Water/Diesel Tanks</t>
  </si>
  <si>
    <t xml:space="preserve">Electrical Equipment </t>
  </si>
  <si>
    <t>Control Components</t>
  </si>
  <si>
    <t>Visualization &amp; IT Equipment</t>
  </si>
  <si>
    <t>DB, UPS &amp; Switchboard</t>
  </si>
  <si>
    <t>Power &amp; Control Cables</t>
  </si>
  <si>
    <t>Fire Alarm &amp; Fighting Eqpt</t>
  </si>
  <si>
    <t xml:space="preserve">Batteries </t>
  </si>
  <si>
    <t>Lighting Fixtures</t>
  </si>
  <si>
    <t>Bulk Material &amp; Consumable</t>
  </si>
  <si>
    <t xml:space="preserve">Construction Equipment </t>
  </si>
  <si>
    <t>Scafolding &amp; Access Equipment</t>
  </si>
  <si>
    <t>Lifting &amp; material handling Eqpt</t>
  </si>
  <si>
    <t>Earthmoving Eqpt</t>
  </si>
  <si>
    <t>Sanitary Fixing</t>
  </si>
  <si>
    <t>IT Equipment</t>
  </si>
  <si>
    <t>PCs &amp; Laptop</t>
  </si>
  <si>
    <t xml:space="preserve">Servers &amp; Networking Components </t>
  </si>
  <si>
    <t>IT Services  / Software</t>
  </si>
  <si>
    <t>Telecom Equipment</t>
  </si>
  <si>
    <t xml:space="preserve">CCTV </t>
  </si>
  <si>
    <t>Telephone &amp; Mobiles Eqpt</t>
  </si>
  <si>
    <t>Public Address System</t>
  </si>
  <si>
    <t xml:space="preserve">Tools </t>
  </si>
  <si>
    <t>Hand Tools</t>
  </si>
  <si>
    <t>Power Tools</t>
  </si>
  <si>
    <t>Testing Tools</t>
  </si>
  <si>
    <t>Office Equipment &amp; Furniture</t>
  </si>
  <si>
    <t>Office Furniture</t>
  </si>
  <si>
    <t>Office Stationary</t>
  </si>
  <si>
    <t>Office Consumables</t>
  </si>
  <si>
    <t>Housekeeping Supplies</t>
  </si>
  <si>
    <t>Housekeeping Equipment</t>
  </si>
  <si>
    <t>Housekeeping Consumables</t>
  </si>
  <si>
    <t xml:space="preserve">Health &amp; Safety </t>
  </si>
  <si>
    <t>External Services</t>
  </si>
  <si>
    <t xml:space="preserve">Construction &amp; repair </t>
  </si>
  <si>
    <t>Maintenance</t>
  </si>
  <si>
    <t xml:space="preserve">Transportation &amp; Logistic </t>
  </si>
  <si>
    <t xml:space="preserve">Consulting </t>
  </si>
  <si>
    <t>Telecom Services</t>
  </si>
  <si>
    <t>Real Estate Services</t>
  </si>
  <si>
    <r>
      <t>MW 5,Plot 22, Warehouse No. 7, 
Mussafah Industrial Area
P.O.Box 8361, Abu Dhabi, U.A.E.
Email:</t>
    </r>
    <r>
      <rPr>
        <sz val="10"/>
        <color theme="1" tint="0.249977111117893"/>
        <rFont val="Arial"/>
        <family val="2"/>
      </rPr>
      <t xml:space="preserve"> junaid.ukaye@granthiumautomation.com </t>
    </r>
    <r>
      <rPr>
        <sz val="11"/>
        <color theme="1" tint="0.249977111117893"/>
        <rFont val="Arial"/>
        <family val="2"/>
      </rPr>
      <t xml:space="preserve">
Mob: +97156 7123605 </t>
    </r>
  </si>
  <si>
    <t>DDP</t>
  </si>
  <si>
    <t>V2002</t>
  </si>
  <si>
    <t>Wago Middle East</t>
  </si>
  <si>
    <t>Yehya</t>
  </si>
  <si>
    <t>WAGO</t>
  </si>
  <si>
    <t>+971 52 6135758</t>
  </si>
  <si>
    <t>P.O.Box 51778, Dubai, U.A.E.</t>
  </si>
  <si>
    <t>Yehya.Hewidy@wago.com</t>
  </si>
  <si>
    <t>Advance</t>
  </si>
  <si>
    <t>PURCHASE ORDER #.:</t>
  </si>
  <si>
    <t>Hermes Electric</t>
  </si>
  <si>
    <t>Schneider Electric</t>
  </si>
  <si>
    <t>P.O.Box 18690, Dubai, U.A.E.</t>
  </si>
  <si>
    <t>samir@hermeselectric.ae</t>
  </si>
  <si>
    <t xml:space="preserve">+ 971 4 2835601 </t>
  </si>
  <si>
    <t>V2003</t>
  </si>
  <si>
    <t>Sr. No.</t>
  </si>
  <si>
    <t>Article No. / Type No.</t>
  </si>
  <si>
    <t>Units</t>
  </si>
  <si>
    <t>Total Qty</t>
  </si>
  <si>
    <t>Unit Price AED</t>
  </si>
  <si>
    <t>Total Price AED</t>
  </si>
  <si>
    <t>Gross Total</t>
  </si>
  <si>
    <t xml:space="preserve">Grand total </t>
  </si>
  <si>
    <t>GA Works AUH</t>
  </si>
  <si>
    <t>TRN NUMBER: 100544620600003</t>
  </si>
  <si>
    <t>STORES CONTACT#</t>
  </si>
  <si>
    <t xml:space="preserve"> Mehmood +97156 8185674, Afzal +97156 8184750</t>
  </si>
  <si>
    <t>CHQ ON DELIVERY</t>
  </si>
  <si>
    <t>+971523370102</t>
  </si>
  <si>
    <t>Samir Tayyar</t>
  </si>
  <si>
    <t>V2022</t>
  </si>
  <si>
    <t>Deira General Marketing</t>
  </si>
  <si>
    <t>Semikron</t>
  </si>
  <si>
    <t>+971 42 545 777</t>
  </si>
  <si>
    <t>dgmsales@emirates.net.ae</t>
  </si>
  <si>
    <t>PO Box: 11370, Hor Al Anz Street, Deira, Dubai, UAE.</t>
  </si>
  <si>
    <t>PHOENIX TRADING CO. LLC</t>
  </si>
  <si>
    <t>100057509000003</t>
  </si>
  <si>
    <t>Arjun Pushpakaran</t>
  </si>
  <si>
    <t>+ 971 50 9455155</t>
  </si>
  <si>
    <t>+97143362646</t>
  </si>
  <si>
    <t>arjun.pushpakaran@phoenix-me.com</t>
  </si>
  <si>
    <t>COD</t>
  </si>
  <si>
    <t>P.O.Box 6473, DUBAI</t>
  </si>
  <si>
    <t>V2023</t>
  </si>
  <si>
    <t>Pages</t>
  </si>
  <si>
    <t>Requested By</t>
  </si>
  <si>
    <t>AS</t>
  </si>
  <si>
    <t>V2024</t>
  </si>
  <si>
    <t>Max Technical Electrical Trading LLC</t>
  </si>
  <si>
    <t>1000501018400003</t>
  </si>
  <si>
    <t>Hoffmann</t>
  </si>
  <si>
    <t>+ 971 50 7867987</t>
  </si>
  <si>
    <t xml:space="preserve">P.O.Box 786, DUBAI, U.A.E. </t>
  </si>
  <si>
    <t>+97143306970</t>
  </si>
  <si>
    <t>mohsinm@maxtechdxb.com</t>
  </si>
  <si>
    <t>MK</t>
  </si>
  <si>
    <t>P2401</t>
  </si>
  <si>
    <t>Component / Materials List</t>
  </si>
  <si>
    <t>FLOOR STANDING MILD STEEL COMBINABLE SINGLE DOOR ENCLOSURE SIZE: 2000 X 800 X 600 MM WITH FITTED DOOR, REAR PANEL, ROOF PANEL L, BOTTOM PLATES, MOUNTING PLATE, FINISH:RAL 7035, COMPLIES WITH IP 55 | TYPE 12 | IK 10.</t>
  </si>
  <si>
    <t>EA</t>
  </si>
  <si>
    <t>SIDE PANELS, 2000X600MM</t>
  </si>
  <si>
    <t>MCS20086R5,BRAND-HOFFMAN</t>
  </si>
  <si>
    <t>SPM2006R5,BRAND-HOFFMAN</t>
  </si>
  <si>
    <t>PLINTH FRONT/ REAR, 100X800MM</t>
  </si>
  <si>
    <t>PLINTH SIDES, 100X600MM</t>
  </si>
  <si>
    <t>ENCLOSURE LIGHT LED 4W 220V-240V &amp; LIGHT WITH POWER CABLE 1.75 M LONG</t>
  </si>
  <si>
    <t>DRAWING POCKET A4</t>
  </si>
  <si>
    <t>PF1080,BRAND-HOFFMAN</t>
  </si>
  <si>
    <t>PS1060,BRAND-HOFFMAN</t>
  </si>
  <si>
    <t xml:space="preserve">TL4001-4W,BRAND-HOFFMAN
</t>
  </si>
  <si>
    <t>DRA04,BRAND-HOFFMAN</t>
  </si>
  <si>
    <t>Supply</t>
  </si>
  <si>
    <t>Supply of components as per mentioned in BOM_SE</t>
  </si>
  <si>
    <t>Nos.</t>
  </si>
  <si>
    <t>Discount %</t>
  </si>
  <si>
    <t xml:space="preserve">2401PO02R0 </t>
  </si>
  <si>
    <t>Arjun Yadav</t>
  </si>
  <si>
    <t xml:space="preserve">Annex. I to  
PO # 2401PO02R0 </t>
  </si>
  <si>
    <t xml:space="preserve"> GF12KU230BER </t>
  </si>
  <si>
    <t xml:space="preserve"> EXHAUST FAN WITH FILTER</t>
  </si>
  <si>
    <t xml:space="preserve"> LIMIT SWITCH </t>
  </si>
  <si>
    <t xml:space="preserve">TRT-10A230V-NO </t>
  </si>
  <si>
    <t xml:space="preserve"> Thermostats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</si>
</sst>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14C09]d\ mmm\ yyyy;@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b/>
      <sz val="11"/>
      <color theme="0"/>
      <name val="Arial Narrow"/>
      <family val="2"/>
    </font>
    <font>
      <sz val="11"/>
      <color theme="1"/>
      <name val="Arial"/>
      <family val="2"/>
    </font>
    <font>
      <sz val="11"/>
      <color rgb="FF008B8B"/>
      <name val="Arial"/>
      <family val="2"/>
    </font>
    <font>
      <sz val="9"/>
      <color rgb="FF008B8B"/>
      <name val="Arial"/>
      <family val="2"/>
    </font>
    <font>
      <sz val="11"/>
      <color rgb="FF008B8B"/>
      <name val="Arial Narrow"/>
      <family val="2"/>
    </font>
    <font>
      <b/>
      <sz val="14"/>
      <name val="Arial Narrow"/>
      <family val="2"/>
    </font>
    <font>
      <sz val="11"/>
      <color theme="1" tint="0.249977111117893"/>
      <name val="Arial"/>
      <family val="2"/>
    </font>
    <font>
      <sz val="10"/>
      <color theme="1" tint="0.249977111117893"/>
      <name val="Arial"/>
      <family val="2"/>
    </font>
    <font>
      <b/>
      <sz val="20"/>
      <color theme="4" tint="-0.249977111117893"/>
      <name val="Arial"/>
      <family val="2"/>
    </font>
    <font>
      <b/>
      <sz val="28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4" tint="-0.249977111117893"/>
      <name val="Arial Narrow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1"/>
      <name val="Arial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double">
        <color theme="0" tint="-0.24994659260841701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1"/>
      </left>
      <right style="thin">
        <color theme="0" tint="-0.24994659260841701"/>
      </right>
      <top style="medium">
        <color theme="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medium">
        <color auto="1"/>
      </left>
      <right style="thin">
        <color theme="1"/>
      </right>
      <top style="thin">
        <color theme="1"/>
      </top>
      <bottom style="thin">
        <color theme="0" tint="-0.2499465926084170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2499465926084170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0" tint="-0.24994659260841701"/>
      </bottom>
      <diagonal/>
    </border>
    <border>
      <left style="medium">
        <color auto="1"/>
      </left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 style="thin">
        <color theme="1"/>
      </right>
      <top style="thin">
        <color theme="0" tint="-0.2499465926084170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2499465926084170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0" tint="-0.24994659260841701"/>
      </top>
      <bottom style="thin">
        <color theme="1"/>
      </bottom>
      <diagonal/>
    </border>
  </borders>
  <cellStyleXfs count="4">
    <xf numFmtId="0" fontId="0" fillId="0" borderId="0"/>
    <xf numFmtId="0" fontId="16" fillId="0" borderId="0" applyNumberFormat="0" applyFill="0" applyBorder="0" applyAlignment="0" applyProtection="0"/>
    <xf numFmtId="43" fontId="21" fillId="0" borderId="0" applyFont="0" applyFill="0" applyBorder="0" applyAlignment="0" applyProtection="0"/>
    <xf numFmtId="0" fontId="23" fillId="0" borderId="0"/>
  </cellStyleXfs>
  <cellXfs count="20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3" fillId="0" borderId="0" xfId="0" applyFont="1"/>
    <xf numFmtId="4" fontId="2" fillId="0" borderId="10" xfId="0" applyNumberFormat="1" applyFont="1" applyBorder="1" applyAlignment="1">
      <alignment vertical="center"/>
    </xf>
    <xf numFmtId="4" fontId="1" fillId="0" borderId="10" xfId="0" applyNumberFormat="1" applyFont="1" applyBorder="1" applyAlignment="1">
      <alignment vertical="center"/>
    </xf>
    <xf numFmtId="4" fontId="1" fillId="0" borderId="14" xfId="0" applyNumberFormat="1" applyFont="1" applyBorder="1" applyAlignment="1">
      <alignment vertical="center"/>
    </xf>
    <xf numFmtId="4" fontId="2" fillId="0" borderId="15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" fillId="0" borderId="9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5" xfId="0" applyFont="1" applyBorder="1"/>
    <xf numFmtId="0" fontId="3" fillId="0" borderId="11" xfId="0" applyFont="1" applyBorder="1"/>
    <xf numFmtId="0" fontId="2" fillId="0" borderId="12" xfId="0" applyFont="1" applyBorder="1"/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4" fontId="2" fillId="0" borderId="0" xfId="0" applyNumberFormat="1" applyFont="1" applyAlignment="1">
      <alignment vertical="center"/>
    </xf>
    <xf numFmtId="0" fontId="1" fillId="0" borderId="4" xfId="0" applyFont="1" applyBorder="1" applyAlignment="1">
      <alignment horizontal="left" vertical="top"/>
    </xf>
    <xf numFmtId="0" fontId="4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2" fillId="0" borderId="13" xfId="0" applyFont="1" applyBorder="1"/>
    <xf numFmtId="0" fontId="14" fillId="3" borderId="16" xfId="0" applyFont="1" applyFill="1" applyBorder="1" applyAlignment="1">
      <alignment wrapText="1"/>
    </xf>
    <xf numFmtId="0" fontId="14" fillId="3" borderId="17" xfId="0" applyFont="1" applyFill="1" applyBorder="1" applyAlignment="1">
      <alignment wrapText="1"/>
    </xf>
    <xf numFmtId="0" fontId="14" fillId="3" borderId="18" xfId="0" applyFont="1" applyFill="1" applyBorder="1" applyAlignment="1">
      <alignment wrapText="1"/>
    </xf>
    <xf numFmtId="0" fontId="14" fillId="3" borderId="19" xfId="0" applyFont="1" applyFill="1" applyBorder="1" applyAlignment="1">
      <alignment wrapText="1"/>
    </xf>
    <xf numFmtId="0" fontId="14" fillId="3" borderId="20" xfId="0" applyFont="1" applyFill="1" applyBorder="1" applyAlignment="1">
      <alignment wrapText="1"/>
    </xf>
    <xf numFmtId="0" fontId="0" fillId="0" borderId="21" xfId="0" applyBorder="1"/>
    <xf numFmtId="49" fontId="0" fillId="0" borderId="21" xfId="0" applyNumberFormat="1" applyBorder="1" applyAlignment="1">
      <alignment horizontal="right"/>
    </xf>
    <xf numFmtId="0" fontId="0" fillId="0" borderId="21" xfId="0" quotePrefix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quotePrefix="1" applyBorder="1"/>
    <xf numFmtId="0" fontId="16" fillId="0" borderId="21" xfId="1" applyBorder="1"/>
    <xf numFmtId="0" fontId="0" fillId="0" borderId="23" xfId="0" applyBorder="1"/>
    <xf numFmtId="0" fontId="0" fillId="0" borderId="1" xfId="0" applyBorder="1" applyAlignment="1">
      <alignment horizontal="left"/>
    </xf>
    <xf numFmtId="0" fontId="16" fillId="0" borderId="1" xfId="1" applyBorder="1"/>
    <xf numFmtId="0" fontId="0" fillId="0" borderId="24" xfId="0" applyBorder="1"/>
    <xf numFmtId="0" fontId="16" fillId="0" borderId="1" xfId="1" applyBorder="1" applyAlignment="1">
      <alignment wrapText="1"/>
    </xf>
    <xf numFmtId="0" fontId="0" fillId="0" borderId="9" xfId="0" applyBorder="1"/>
    <xf numFmtId="0" fontId="0" fillId="0" borderId="25" xfId="0" applyBorder="1"/>
    <xf numFmtId="0" fontId="0" fillId="0" borderId="26" xfId="0" applyBorder="1"/>
    <xf numFmtId="0" fontId="17" fillId="0" borderId="0" xfId="0" applyFont="1"/>
    <xf numFmtId="0" fontId="16" fillId="0" borderId="0" xfId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14" fillId="4" borderId="35" xfId="0" applyFont="1" applyFill="1" applyBorder="1"/>
    <xf numFmtId="0" fontId="14" fillId="4" borderId="36" xfId="0" applyFont="1" applyFill="1" applyBorder="1"/>
    <xf numFmtId="0" fontId="14" fillId="3" borderId="37" xfId="0" applyFont="1" applyFill="1" applyBorder="1" applyAlignment="1">
      <alignment horizontal="left"/>
    </xf>
    <xf numFmtId="0" fontId="14" fillId="3" borderId="38" xfId="0" applyFont="1" applyFill="1" applyBorder="1"/>
    <xf numFmtId="0" fontId="0" fillId="0" borderId="25" xfId="0" applyBorder="1" applyAlignment="1">
      <alignment horizontal="left"/>
    </xf>
    <xf numFmtId="0" fontId="14" fillId="3" borderId="25" xfId="0" applyFont="1" applyFill="1" applyBorder="1" applyAlignment="1">
      <alignment horizontal="left"/>
    </xf>
    <xf numFmtId="0" fontId="14" fillId="3" borderId="24" xfId="0" applyFont="1" applyFill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19" fillId="0" borderId="22" xfId="1" applyFont="1" applyBorder="1" applyAlignment="1">
      <alignment horizontal="center"/>
    </xf>
    <xf numFmtId="0" fontId="19" fillId="0" borderId="9" xfId="1" applyFont="1" applyBorder="1" applyAlignment="1">
      <alignment horizontal="center"/>
    </xf>
    <xf numFmtId="0" fontId="19" fillId="0" borderId="9" xfId="1" applyFont="1" applyBorder="1" applyAlignment="1">
      <alignment horizontal="center" wrapText="1"/>
    </xf>
    <xf numFmtId="0" fontId="19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9" xfId="0" applyBorder="1"/>
    <xf numFmtId="0" fontId="0" fillId="0" borderId="39" xfId="0" applyBorder="1" applyAlignment="1">
      <alignment horizontal="left"/>
    </xf>
    <xf numFmtId="0" fontId="0" fillId="0" borderId="40" xfId="0" applyBorder="1"/>
    <xf numFmtId="0" fontId="0" fillId="0" borderId="40" xfId="0" applyBorder="1" applyAlignment="1">
      <alignment horizontal="left"/>
    </xf>
    <xf numFmtId="0" fontId="0" fillId="0" borderId="12" xfId="0" applyBorder="1"/>
    <xf numFmtId="0" fontId="20" fillId="0" borderId="0" xfId="0" applyFont="1" applyAlignment="1">
      <alignment horizontal="right"/>
    </xf>
    <xf numFmtId="0" fontId="24" fillId="0" borderId="0" xfId="3" applyFont="1" applyAlignment="1">
      <alignment vertical="center"/>
    </xf>
    <xf numFmtId="0" fontId="23" fillId="0" borderId="0" xfId="3" applyAlignment="1">
      <alignment horizontal="left"/>
    </xf>
    <xf numFmtId="0" fontId="22" fillId="5" borderId="39" xfId="3" applyFont="1" applyFill="1" applyBorder="1" applyAlignment="1">
      <alignment horizontal="center" vertical="center" wrapText="1"/>
    </xf>
    <xf numFmtId="0" fontId="25" fillId="5" borderId="42" xfId="3" applyFont="1" applyFill="1" applyBorder="1" applyAlignment="1">
      <alignment horizontal="right"/>
    </xf>
    <xf numFmtId="0" fontId="25" fillId="5" borderId="43" xfId="3" applyFont="1" applyFill="1" applyBorder="1" applyAlignment="1">
      <alignment horizontal="left"/>
    </xf>
    <xf numFmtId="0" fontId="26" fillId="5" borderId="43" xfId="3" applyFont="1" applyFill="1" applyBorder="1" applyAlignment="1">
      <alignment horizontal="left"/>
    </xf>
    <xf numFmtId="0" fontId="26" fillId="5" borderId="43" xfId="3" applyFont="1" applyFill="1" applyBorder="1" applyAlignment="1">
      <alignment horizontal="center"/>
    </xf>
    <xf numFmtId="43" fontId="26" fillId="5" borderId="43" xfId="3" applyNumberFormat="1" applyFont="1" applyFill="1" applyBorder="1" applyAlignment="1">
      <alignment horizontal="center"/>
    </xf>
    <xf numFmtId="0" fontId="25" fillId="5" borderId="44" xfId="3" applyFont="1" applyFill="1" applyBorder="1" applyAlignment="1">
      <alignment horizontal="left"/>
    </xf>
    <xf numFmtId="0" fontId="25" fillId="5" borderId="45" xfId="3" applyFont="1" applyFill="1" applyBorder="1" applyAlignment="1">
      <alignment horizontal="right"/>
    </xf>
    <xf numFmtId="0" fontId="25" fillId="5" borderId="46" xfId="3" applyFont="1" applyFill="1" applyBorder="1" applyAlignment="1">
      <alignment horizontal="left"/>
    </xf>
    <xf numFmtId="0" fontId="26" fillId="5" borderId="46" xfId="3" applyFont="1" applyFill="1" applyBorder="1" applyAlignment="1">
      <alignment horizontal="left"/>
    </xf>
    <xf numFmtId="0" fontId="26" fillId="5" borderId="46" xfId="3" applyFont="1" applyFill="1" applyBorder="1" applyAlignment="1">
      <alignment horizontal="center"/>
    </xf>
    <xf numFmtId="43" fontId="26" fillId="5" borderId="46" xfId="3" applyNumberFormat="1" applyFont="1" applyFill="1" applyBorder="1" applyAlignment="1">
      <alignment horizontal="center"/>
    </xf>
    <xf numFmtId="0" fontId="25" fillId="5" borderId="47" xfId="3" applyFont="1" applyFill="1" applyBorder="1" applyAlignment="1">
      <alignment horizontal="left"/>
    </xf>
    <xf numFmtId="0" fontId="27" fillId="0" borderId="13" xfId="0" quotePrefix="1" applyFont="1" applyBorder="1"/>
    <xf numFmtId="0" fontId="22" fillId="5" borderId="48" xfId="3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43" fontId="23" fillId="0" borderId="0" xfId="3" applyNumberFormat="1" applyAlignment="1">
      <alignment horizontal="left"/>
    </xf>
    <xf numFmtId="0" fontId="0" fillId="0" borderId="51" xfId="0" applyBorder="1"/>
    <xf numFmtId="0" fontId="0" fillId="0" borderId="51" xfId="0" quotePrefix="1" applyBorder="1" applyAlignment="1">
      <alignment horizontal="right"/>
    </xf>
    <xf numFmtId="0" fontId="0" fillId="0" borderId="51" xfId="0" quotePrefix="1" applyBorder="1"/>
    <xf numFmtId="0" fontId="0" fillId="0" borderId="51" xfId="0" applyBorder="1" applyAlignment="1">
      <alignment wrapText="1"/>
    </xf>
    <xf numFmtId="0" fontId="16" fillId="0" borderId="51" xfId="1" applyBorder="1"/>
    <xf numFmtId="0" fontId="19" fillId="0" borderId="51" xfId="0" applyFont="1" applyBorder="1" applyAlignment="1">
      <alignment horizontal="center"/>
    </xf>
    <xf numFmtId="0" fontId="19" fillId="0" borderId="52" xfId="0" applyFont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" xfId="0" applyFont="1" applyBorder="1" applyAlignment="1">
      <alignment vertical="center" wrapText="1"/>
    </xf>
    <xf numFmtId="4" fontId="29" fillId="0" borderId="1" xfId="0" applyNumberFormat="1" applyFont="1" applyBorder="1" applyAlignment="1">
      <alignment vertical="center"/>
    </xf>
    <xf numFmtId="0" fontId="29" fillId="0" borderId="9" xfId="0" applyFont="1" applyBorder="1" applyAlignment="1">
      <alignment vertical="center"/>
    </xf>
    <xf numFmtId="0" fontId="1" fillId="0" borderId="2" xfId="0" applyFont="1" applyBorder="1"/>
    <xf numFmtId="0" fontId="23" fillId="0" borderId="50" xfId="3" applyBorder="1" applyAlignment="1">
      <alignment horizontal="left" vertical="center" wrapText="1"/>
    </xf>
    <xf numFmtId="0" fontId="0" fillId="0" borderId="0" xfId="0" applyAlignment="1">
      <alignment vertical="center"/>
    </xf>
    <xf numFmtId="0" fontId="28" fillId="0" borderId="1" xfId="0" applyFont="1" applyBorder="1" applyAlignment="1">
      <alignment horizontal="center" vertical="center"/>
    </xf>
    <xf numFmtId="4" fontId="28" fillId="0" borderId="1" xfId="0" applyNumberFormat="1" applyFont="1" applyBorder="1" applyAlignment="1">
      <alignment vertical="center"/>
    </xf>
    <xf numFmtId="4" fontId="27" fillId="0" borderId="1" xfId="0" applyNumberFormat="1" applyFont="1" applyBorder="1" applyAlignment="1">
      <alignment vertical="center"/>
    </xf>
    <xf numFmtId="0" fontId="30" fillId="0" borderId="50" xfId="3" applyFont="1" applyBorder="1" applyAlignment="1">
      <alignment vertical="center" wrapText="1"/>
    </xf>
    <xf numFmtId="0" fontId="31" fillId="0" borderId="50" xfId="3" applyFont="1" applyBorder="1" applyAlignment="1">
      <alignment horizontal="center" vertical="center" wrapText="1"/>
    </xf>
    <xf numFmtId="9" fontId="26" fillId="5" borderId="43" xfId="3" applyNumberFormat="1" applyFont="1" applyFill="1" applyBorder="1" applyAlignment="1">
      <alignment horizontal="center"/>
    </xf>
    <xf numFmtId="0" fontId="25" fillId="5" borderId="53" xfId="3" applyFont="1" applyFill="1" applyBorder="1" applyAlignment="1">
      <alignment horizontal="right"/>
    </xf>
    <xf numFmtId="0" fontId="25" fillId="5" borderId="54" xfId="3" applyFont="1" applyFill="1" applyBorder="1" applyAlignment="1">
      <alignment horizontal="left"/>
    </xf>
    <xf numFmtId="0" fontId="26" fillId="5" borderId="54" xfId="3" applyFont="1" applyFill="1" applyBorder="1" applyAlignment="1">
      <alignment horizontal="left"/>
    </xf>
    <xf numFmtId="0" fontId="26" fillId="5" borderId="54" xfId="3" applyFont="1" applyFill="1" applyBorder="1" applyAlignment="1">
      <alignment horizontal="center"/>
    </xf>
    <xf numFmtId="43" fontId="26" fillId="5" borderId="54" xfId="3" applyNumberFormat="1" applyFont="1" applyFill="1" applyBorder="1" applyAlignment="1">
      <alignment horizontal="center"/>
    </xf>
    <xf numFmtId="0" fontId="25" fillId="5" borderId="55" xfId="3" applyFont="1" applyFill="1" applyBorder="1" applyAlignment="1">
      <alignment horizontal="left"/>
    </xf>
    <xf numFmtId="0" fontId="23" fillId="0" borderId="56" xfId="3" applyBorder="1" applyAlignment="1">
      <alignment horizontal="right" vertical="center"/>
    </xf>
    <xf numFmtId="0" fontId="23" fillId="0" borderId="57" xfId="3" applyBorder="1" applyAlignment="1">
      <alignment horizontal="left" vertical="center"/>
    </xf>
    <xf numFmtId="0" fontId="23" fillId="0" borderId="57" xfId="3" applyBorder="1" applyAlignment="1">
      <alignment wrapText="1"/>
    </xf>
    <xf numFmtId="0" fontId="23" fillId="0" borderId="57" xfId="3" applyBorder="1" applyAlignment="1">
      <alignment horizontal="center"/>
    </xf>
    <xf numFmtId="43" fontId="0" fillId="0" borderId="57" xfId="2" applyFont="1" applyBorder="1" applyAlignment="1">
      <alignment horizontal="center"/>
    </xf>
    <xf numFmtId="43" fontId="23" fillId="0" borderId="57" xfId="3" applyNumberFormat="1" applyBorder="1" applyAlignment="1">
      <alignment horizontal="left"/>
    </xf>
    <xf numFmtId="0" fontId="23" fillId="0" borderId="58" xfId="3" applyBorder="1" applyAlignment="1">
      <alignment horizontal="left"/>
    </xf>
    <xf numFmtId="0" fontId="23" fillId="0" borderId="59" xfId="3" applyBorder="1" applyAlignment="1">
      <alignment horizontal="right" vertical="center"/>
    </xf>
    <xf numFmtId="0" fontId="23" fillId="0" borderId="60" xfId="3" applyBorder="1" applyAlignment="1">
      <alignment horizontal="left"/>
    </xf>
    <xf numFmtId="0" fontId="0" fillId="0" borderId="60" xfId="0" applyBorder="1"/>
    <xf numFmtId="0" fontId="23" fillId="0" borderId="60" xfId="3" applyBorder="1" applyAlignment="1">
      <alignment horizontal="center" vertical="center"/>
    </xf>
    <xf numFmtId="0" fontId="23" fillId="0" borderId="60" xfId="3" applyBorder="1" applyAlignment="1">
      <alignment horizontal="center"/>
    </xf>
    <xf numFmtId="43" fontId="0" fillId="0" borderId="60" xfId="2" applyFont="1" applyBorder="1" applyAlignment="1">
      <alignment horizontal="left"/>
    </xf>
    <xf numFmtId="43" fontId="23" fillId="0" borderId="60" xfId="3" applyNumberFormat="1" applyBorder="1" applyAlignment="1">
      <alignment horizontal="left"/>
    </xf>
    <xf numFmtId="0" fontId="23" fillId="0" borderId="61" xfId="3" applyBorder="1" applyAlignment="1">
      <alignment horizontal="left"/>
    </xf>
    <xf numFmtId="0" fontId="23" fillId="0" borderId="60" xfId="3" quotePrefix="1" applyBorder="1" applyAlignment="1">
      <alignment horizontal="left"/>
    </xf>
    <xf numFmtId="0" fontId="0" fillId="0" borderId="60" xfId="0" quotePrefix="1" applyBorder="1"/>
    <xf numFmtId="0" fontId="23" fillId="0" borderId="60" xfId="3" applyBorder="1" applyAlignment="1">
      <alignment horizontal="left" vertical="top" wrapText="1"/>
    </xf>
    <xf numFmtId="0" fontId="23" fillId="0" borderId="60" xfId="3" applyBorder="1" applyAlignment="1">
      <alignment horizontal="left" wrapText="1"/>
    </xf>
    <xf numFmtId="0" fontId="23" fillId="0" borderId="60" xfId="3" quotePrefix="1" applyBorder="1" applyAlignment="1">
      <alignment horizontal="left" wrapText="1"/>
    </xf>
    <xf numFmtId="0" fontId="0" fillId="0" borderId="60" xfId="0" applyBorder="1" applyAlignment="1">
      <alignment horizontal="left" vertical="top" wrapText="1"/>
    </xf>
    <xf numFmtId="0" fontId="23" fillId="0" borderId="59" xfId="3" applyBorder="1" applyAlignment="1">
      <alignment horizontal="right"/>
    </xf>
    <xf numFmtId="0" fontId="23" fillId="0" borderId="62" xfId="3" applyBorder="1" applyAlignment="1">
      <alignment horizontal="right"/>
    </xf>
    <xf numFmtId="0" fontId="23" fillId="0" borderId="63" xfId="3" applyBorder="1" applyAlignment="1">
      <alignment horizontal="left"/>
    </xf>
    <xf numFmtId="0" fontId="23" fillId="0" borderId="63" xfId="3" applyBorder="1" applyAlignment="1">
      <alignment horizontal="center"/>
    </xf>
    <xf numFmtId="43" fontId="23" fillId="0" borderId="63" xfId="3" applyNumberFormat="1" applyBorder="1" applyAlignment="1">
      <alignment horizontal="left"/>
    </xf>
    <xf numFmtId="0" fontId="23" fillId="0" borderId="64" xfId="3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0" borderId="6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8" xfId="0" applyFont="1" applyBorder="1" applyAlignment="1">
      <alignment horizontal="center"/>
    </xf>
    <xf numFmtId="0" fontId="1" fillId="0" borderId="6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2" fillId="0" borderId="12" xfId="0" applyFont="1" applyBorder="1" applyAlignment="1">
      <alignment horizontal="left"/>
    </xf>
    <xf numFmtId="0" fontId="2" fillId="0" borderId="8" xfId="0" quotePrefix="1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8" xfId="0" applyFont="1" applyBorder="1"/>
    <xf numFmtId="0" fontId="2" fillId="0" borderId="13" xfId="0" applyFont="1" applyBorder="1"/>
    <xf numFmtId="0" fontId="2" fillId="0" borderId="8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164" fontId="2" fillId="0" borderId="8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3" fillId="0" borderId="11" xfId="0" applyFont="1" applyBorder="1" applyAlignment="1">
      <alignment horizontal="left"/>
    </xf>
    <xf numFmtId="0" fontId="5" fillId="0" borderId="0" xfId="0" applyFont="1" applyAlignment="1">
      <alignment horizontal="center"/>
    </xf>
    <xf numFmtId="164" fontId="9" fillId="0" borderId="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49" fontId="28" fillId="0" borderId="8" xfId="0" applyNumberFormat="1" applyFont="1" applyBorder="1" applyAlignment="1">
      <alignment horizontal="center"/>
    </xf>
    <xf numFmtId="49" fontId="28" fillId="0" borderId="13" xfId="0" applyNumberFormat="1" applyFont="1" applyBorder="1" applyAlignment="1">
      <alignment horizontal="center"/>
    </xf>
    <xf numFmtId="0" fontId="24" fillId="0" borderId="41" xfId="3" applyFont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8" fillId="0" borderId="32" xfId="0" applyFont="1" applyBorder="1" applyAlignment="1">
      <alignment horizontal="center"/>
    </xf>
    <xf numFmtId="0" fontId="18" fillId="0" borderId="34" xfId="0" applyFont="1" applyBorder="1" applyAlignment="1">
      <alignment horizontal="center"/>
    </xf>
  </cellXfs>
  <cellStyles count="4">
    <cellStyle name="Comma" xfId="2" builtinId="3"/>
    <cellStyle name="Hyperlink" xfId="1" builtinId="8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colors>
    <mruColors>
      <color rgb="FF008B8B"/>
      <color rgb="FF003366"/>
      <color rgb="FFFFFFAB"/>
      <color rgb="FFD7E7F5"/>
      <color rgb="FFB3FFD5"/>
      <color rgb="FFF9D5BD"/>
      <color rgb="FFE8D9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dgmsales@emirates.net.ae" TargetMode="External"/><Relationship Id="rId2" Type="http://schemas.openxmlformats.org/officeDocument/2006/relationships/hyperlink" Target="mailto:samir@hermeselectric.ae" TargetMode="External"/><Relationship Id="rId1" Type="http://schemas.openxmlformats.org/officeDocument/2006/relationships/hyperlink" Target="mailto:Yehya.Hewidy@wago.com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mohsinm@maxtechdxb.com" TargetMode="External"/><Relationship Id="rId4" Type="http://schemas.openxmlformats.org/officeDocument/2006/relationships/hyperlink" Target="mailto:arjun.pushpakaran@phoenix-m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showGridLines="0" showZeros="0" tabSelected="1" view="pageLayout" topLeftCell="A8" zoomScaleNormal="100" workbookViewId="0">
      <selection activeCell="B3" sqref="B3"/>
    </sheetView>
  </sheetViews>
  <sheetFormatPr defaultColWidth="9.08984375" defaultRowHeight="14" x14ac:dyDescent="0.3"/>
  <cols>
    <col min="1" max="1" width="7.453125" style="1" customWidth="1"/>
    <col min="2" max="2" width="12.08984375" style="1" customWidth="1"/>
    <col min="3" max="3" width="40.36328125" style="1" customWidth="1"/>
    <col min="4" max="4" width="7.54296875" style="1" customWidth="1"/>
    <col min="5" max="5" width="8.08984375" style="1" customWidth="1"/>
    <col min="6" max="6" width="9" style="1" customWidth="1"/>
    <col min="7" max="7" width="12.08984375" style="1" customWidth="1"/>
    <col min="8" max="16384" width="9.08984375" style="1"/>
  </cols>
  <sheetData>
    <row r="1" spans="1:7" s="3" customFormat="1" ht="15" customHeight="1" x14ac:dyDescent="0.35">
      <c r="A1" s="188"/>
      <c r="B1" s="188"/>
      <c r="C1" s="188"/>
      <c r="D1" s="188"/>
      <c r="E1" s="188"/>
      <c r="F1" s="188"/>
      <c r="G1" s="188"/>
    </row>
    <row r="2" spans="1:7" ht="20.25" customHeight="1" x14ac:dyDescent="0.3">
      <c r="A2" s="191" t="s">
        <v>133</v>
      </c>
      <c r="B2" s="191"/>
      <c r="C2" s="191"/>
      <c r="D2" s="191"/>
      <c r="E2" s="191"/>
      <c r="F2" s="191"/>
      <c r="G2" s="191"/>
    </row>
    <row r="3" spans="1:7" s="7" customFormat="1" ht="28.5" customHeight="1" x14ac:dyDescent="0.3">
      <c r="A3" s="189" t="s">
        <v>107</v>
      </c>
      <c r="B3" s="189"/>
      <c r="C3" s="189"/>
      <c r="D3" s="15"/>
      <c r="E3" s="16"/>
      <c r="F3" s="16"/>
      <c r="G3" s="32" t="s">
        <v>2</v>
      </c>
    </row>
    <row r="4" spans="1:7" ht="18.75" customHeight="1" x14ac:dyDescent="0.3">
      <c r="A4" s="189"/>
      <c r="B4" s="189"/>
      <c r="C4" s="189"/>
      <c r="D4" s="15"/>
      <c r="E4" s="16"/>
      <c r="F4" s="16"/>
      <c r="G4" s="17"/>
    </row>
    <row r="5" spans="1:7" ht="23.25" customHeight="1" x14ac:dyDescent="0.3">
      <c r="A5" s="189"/>
      <c r="B5" s="189"/>
      <c r="C5" s="189"/>
      <c r="D5" s="15"/>
      <c r="E5" s="85" t="s">
        <v>5</v>
      </c>
      <c r="F5" s="192">
        <f ca="1">TODAY()</f>
        <v>45430</v>
      </c>
      <c r="G5" s="192"/>
    </row>
    <row r="6" spans="1:7" ht="21.75" customHeight="1" x14ac:dyDescent="0.3">
      <c r="A6" s="189"/>
      <c r="B6" s="189"/>
      <c r="C6" s="189"/>
      <c r="D6" s="16"/>
      <c r="E6" s="85" t="s">
        <v>117</v>
      </c>
      <c r="F6" s="193" t="s">
        <v>185</v>
      </c>
      <c r="G6" s="193"/>
    </row>
    <row r="7" spans="1:7" ht="8.25" customHeight="1" x14ac:dyDescent="0.3">
      <c r="A7" s="8"/>
      <c r="B7" s="8"/>
      <c r="C7" s="8"/>
      <c r="D7" s="8"/>
    </row>
    <row r="8" spans="1:7" x14ac:dyDescent="0.3">
      <c r="A8" s="23" t="s">
        <v>9</v>
      </c>
      <c r="B8" s="23"/>
      <c r="C8" s="23"/>
      <c r="D8" s="23"/>
      <c r="E8" s="23"/>
      <c r="F8" s="23"/>
      <c r="G8" s="23"/>
    </row>
    <row r="9" spans="1:7" s="9" customFormat="1" ht="10.5" x14ac:dyDescent="0.25">
      <c r="A9" s="190" t="s">
        <v>8</v>
      </c>
      <c r="B9" s="190"/>
      <c r="C9" s="190"/>
      <c r="D9" s="163" t="s">
        <v>21</v>
      </c>
      <c r="E9" s="160"/>
      <c r="F9" s="163" t="s">
        <v>30</v>
      </c>
      <c r="G9" s="160"/>
    </row>
    <row r="10" spans="1:7" x14ac:dyDescent="0.3">
      <c r="A10" s="176" t="str">
        <f>VLOOKUP(D10,TAB_VEN,4,FALSE)</f>
        <v>Max Technical Electrical Trading LLC</v>
      </c>
      <c r="B10" s="176"/>
      <c r="C10" s="176"/>
      <c r="D10" s="179" t="s">
        <v>157</v>
      </c>
      <c r="E10" s="180"/>
      <c r="F10" s="181" t="str">
        <f>VLOOKUP(D10,TAB_VEN,5,FALSE)</f>
        <v>1000501018400003</v>
      </c>
      <c r="G10" s="178"/>
    </row>
    <row r="11" spans="1:7" s="9" customFormat="1" ht="10.5" x14ac:dyDescent="0.25">
      <c r="A11" s="163" t="s">
        <v>10</v>
      </c>
      <c r="B11" s="159"/>
      <c r="C11" s="159"/>
      <c r="D11" s="159"/>
      <c r="E11" s="160"/>
      <c r="F11" s="163" t="s">
        <v>22</v>
      </c>
      <c r="G11" s="160"/>
    </row>
    <row r="12" spans="1:7" x14ac:dyDescent="0.3">
      <c r="A12" s="181" t="str">
        <f>VLOOKUP(D10,TAB_VEN,9,FALSE)</f>
        <v xml:space="preserve">P.O.Box 786, DUBAI, U.A.E. </v>
      </c>
      <c r="B12" s="182"/>
      <c r="C12" s="182"/>
      <c r="D12" s="182"/>
      <c r="E12" s="178"/>
      <c r="F12" s="181" t="s">
        <v>32</v>
      </c>
      <c r="G12" s="178"/>
    </row>
    <row r="13" spans="1:7" s="9" customFormat="1" ht="10.5" x14ac:dyDescent="0.25">
      <c r="A13" s="21" t="s">
        <v>31</v>
      </c>
      <c r="B13" s="21"/>
      <c r="C13" s="21" t="s">
        <v>7</v>
      </c>
      <c r="D13" s="163" t="s">
        <v>24</v>
      </c>
      <c r="E13" s="160"/>
      <c r="F13" s="21" t="s">
        <v>6</v>
      </c>
      <c r="G13" s="21"/>
    </row>
    <row r="14" spans="1:7" x14ac:dyDescent="0.3">
      <c r="A14" s="177" t="str">
        <f>VLOOKUP(D10,TAB_VEN,11,FALSE)</f>
        <v>+97143306970</v>
      </c>
      <c r="B14" s="178"/>
      <c r="C14" s="22" t="str">
        <f>VLOOKUP(D10,TAB_VEN,7,FALSE)</f>
        <v>Arjun Yadav</v>
      </c>
      <c r="D14" s="169" t="str">
        <f>VLOOKUP(D10,TAB_VEN,8,FALSE)</f>
        <v>+ 971 50 7867987</v>
      </c>
      <c r="E14" s="162"/>
      <c r="F14" s="194" t="str">
        <f>VLOOKUP(D10,TAB_VEN,12,FALSE)</f>
        <v>mohsinm@maxtechdxb.com</v>
      </c>
      <c r="G14" s="195"/>
    </row>
    <row r="15" spans="1:7" s="9" customFormat="1" ht="10.5" x14ac:dyDescent="0.25">
      <c r="A15" s="163" t="s">
        <v>19</v>
      </c>
      <c r="B15" s="160"/>
      <c r="C15" s="20" t="s">
        <v>155</v>
      </c>
      <c r="D15" s="163" t="s">
        <v>29</v>
      </c>
      <c r="E15" s="160"/>
      <c r="F15" s="163" t="s">
        <v>26</v>
      </c>
      <c r="G15" s="160"/>
    </row>
    <row r="16" spans="1:7" x14ac:dyDescent="0.3">
      <c r="A16" s="169" t="s">
        <v>166</v>
      </c>
      <c r="B16" s="162"/>
      <c r="C16" s="33" t="s">
        <v>156</v>
      </c>
      <c r="D16" s="186">
        <f ca="1">F5+3</f>
        <v>45433</v>
      </c>
      <c r="E16" s="187"/>
      <c r="F16" s="161" t="s">
        <v>132</v>
      </c>
      <c r="G16" s="162"/>
    </row>
    <row r="17" spans="1:7" s="9" customFormat="1" ht="10.5" x14ac:dyDescent="0.25">
      <c r="A17" s="163" t="s">
        <v>27</v>
      </c>
      <c r="B17" s="160"/>
      <c r="C17" s="20" t="s">
        <v>134</v>
      </c>
      <c r="D17" s="163" t="s">
        <v>28</v>
      </c>
      <c r="E17" s="160"/>
      <c r="F17" s="159" t="s">
        <v>154</v>
      </c>
      <c r="G17" s="160"/>
    </row>
    <row r="18" spans="1:7" x14ac:dyDescent="0.3">
      <c r="A18" s="169" t="str">
        <f>VLOOKUP(D10,TAB_VEN,13,FALSE)</f>
        <v>Advance</v>
      </c>
      <c r="B18" s="162"/>
      <c r="C18" s="101" t="s">
        <v>135</v>
      </c>
      <c r="D18" s="169" t="s">
        <v>108</v>
      </c>
      <c r="E18" s="162"/>
      <c r="F18" s="169">
        <v>2</v>
      </c>
      <c r="G18" s="162"/>
    </row>
    <row r="19" spans="1:7" ht="20.25" customHeight="1" x14ac:dyDescent="0.3">
      <c r="A19" s="24" t="s">
        <v>3</v>
      </c>
      <c r="B19" s="24" t="s">
        <v>23</v>
      </c>
      <c r="C19" s="24" t="s">
        <v>16</v>
      </c>
      <c r="D19" s="24" t="s">
        <v>15</v>
      </c>
      <c r="E19" s="24" t="s">
        <v>4</v>
      </c>
      <c r="F19" s="24" t="s">
        <v>0</v>
      </c>
      <c r="G19" s="24" t="s">
        <v>20</v>
      </c>
    </row>
    <row r="20" spans="1:7" ht="34.75" customHeight="1" x14ac:dyDescent="0.3">
      <c r="A20" s="120">
        <v>1</v>
      </c>
      <c r="B20" s="124" t="s">
        <v>181</v>
      </c>
      <c r="C20" s="123" t="s">
        <v>182</v>
      </c>
      <c r="D20" s="120" t="s">
        <v>183</v>
      </c>
      <c r="E20" s="120">
        <v>1</v>
      </c>
      <c r="F20" s="121">
        <f>BOM_SE!G21</f>
        <v>3192</v>
      </c>
      <c r="G20" s="122">
        <f>E20*F20</f>
        <v>3192</v>
      </c>
    </row>
    <row r="21" spans="1:7" ht="21.65" customHeight="1" x14ac:dyDescent="0.3">
      <c r="A21" s="112"/>
      <c r="B21" s="118"/>
      <c r="C21" s="119"/>
      <c r="D21" s="112"/>
      <c r="E21" s="112"/>
      <c r="F21" s="115"/>
      <c r="G21" s="115"/>
    </row>
    <row r="22" spans="1:7" ht="21.65" customHeight="1" x14ac:dyDescent="0.3">
      <c r="A22" s="112"/>
      <c r="B22" s="113"/>
      <c r="C22" s="114"/>
      <c r="D22" s="112"/>
      <c r="E22" s="112"/>
      <c r="F22" s="115"/>
      <c r="G22" s="115"/>
    </row>
    <row r="23" spans="1:7" ht="21.65" customHeight="1" x14ac:dyDescent="0.3">
      <c r="A23" s="112"/>
      <c r="B23" s="113"/>
      <c r="C23" s="114"/>
      <c r="D23" s="112"/>
      <c r="E23" s="112"/>
      <c r="F23" s="115"/>
      <c r="G23" s="115"/>
    </row>
    <row r="24" spans="1:7" ht="21.65" customHeight="1" x14ac:dyDescent="0.3">
      <c r="A24" s="112"/>
      <c r="B24" s="113" t="s">
        <v>188</v>
      </c>
      <c r="C24" s="114" t="s">
        <v>189</v>
      </c>
      <c r="D24" s="112"/>
      <c r="E24" s="112"/>
      <c r="F24" s="115"/>
      <c r="G24" s="115"/>
    </row>
    <row r="25" spans="1:7" ht="21.65" customHeight="1" x14ac:dyDescent="0.3">
      <c r="A25" s="112"/>
      <c r="B25" s="113"/>
      <c r="C25" s="116" t="s">
        <v>190</v>
      </c>
      <c r="D25" s="112"/>
      <c r="E25" s="112"/>
      <c r="F25" s="115"/>
      <c r="G25" s="115"/>
    </row>
    <row r="26" spans="1:7" ht="21.65" customHeight="1" x14ac:dyDescent="0.3">
      <c r="A26" s="112"/>
      <c r="B26" s="18" t="s">
        <v>191</v>
      </c>
      <c r="C26" s="1" t="s">
        <v>192</v>
      </c>
      <c r="D26" s="112"/>
      <c r="E26" s="4"/>
      <c r="F26" s="6"/>
      <c r="G26" s="6"/>
    </row>
    <row r="27" spans="1:7" ht="21.65" customHeight="1" x14ac:dyDescent="0.3">
      <c r="A27" s="112"/>
      <c r="B27" s="25"/>
      <c r="C27" s="18"/>
      <c r="D27" s="5"/>
      <c r="E27" s="4"/>
      <c r="F27" s="6"/>
      <c r="G27" s="6" t="str">
        <f t="shared" ref="G27:G28" si="0">IF(E27=0,"",E27*F27)</f>
        <v/>
      </c>
    </row>
    <row r="28" spans="1:7" ht="21.65" customHeight="1" x14ac:dyDescent="0.3">
      <c r="A28" s="4"/>
      <c r="B28" s="25"/>
      <c r="C28" s="18"/>
      <c r="D28" s="5"/>
      <c r="E28" s="4"/>
      <c r="F28" s="6"/>
      <c r="G28" s="6" t="str">
        <f t="shared" si="0"/>
        <v/>
      </c>
    </row>
    <row r="29" spans="1:7" ht="21.65" customHeight="1" x14ac:dyDescent="0.3">
      <c r="A29" s="4"/>
      <c r="B29" s="25"/>
      <c r="C29" s="18"/>
      <c r="D29" s="5"/>
      <c r="E29" s="4"/>
      <c r="F29" s="6"/>
      <c r="G29" s="6" t="str">
        <f t="shared" ref="G29:G30" si="1">IF(E29=0,"",E29*F29)</f>
        <v/>
      </c>
    </row>
    <row r="30" spans="1:7" ht="21.65" customHeight="1" x14ac:dyDescent="0.3">
      <c r="A30" s="4"/>
      <c r="B30" s="25"/>
      <c r="C30" s="18"/>
      <c r="D30" s="5"/>
      <c r="E30" s="4"/>
      <c r="F30" s="6"/>
      <c r="G30" s="6" t="str">
        <f t="shared" si="1"/>
        <v/>
      </c>
    </row>
    <row r="31" spans="1:7" x14ac:dyDescent="0.3">
      <c r="A31" s="183" t="s">
        <v>12</v>
      </c>
      <c r="B31" s="184"/>
      <c r="C31" s="185"/>
      <c r="D31" s="3"/>
      <c r="E31" s="74" t="s">
        <v>11</v>
      </c>
      <c r="F31" s="73"/>
      <c r="G31" s="10">
        <f>BOM_SE!G21</f>
        <v>3192</v>
      </c>
    </row>
    <row r="32" spans="1:7" x14ac:dyDescent="0.3">
      <c r="A32" s="170"/>
      <c r="B32" s="171"/>
      <c r="C32" s="172"/>
      <c r="D32" s="167" t="s">
        <v>25</v>
      </c>
      <c r="E32" s="168"/>
      <c r="F32" s="2">
        <v>5</v>
      </c>
      <c r="G32" s="11">
        <f>(G31*F32)/100</f>
        <v>159.6</v>
      </c>
    </row>
    <row r="33" spans="1:7" ht="14.5" thickBot="1" x14ac:dyDescent="0.35">
      <c r="A33" s="170"/>
      <c r="B33" s="171"/>
      <c r="C33" s="172"/>
      <c r="D33" s="167" t="s">
        <v>13</v>
      </c>
      <c r="E33" s="168"/>
      <c r="F33" s="2"/>
      <c r="G33" s="12">
        <f>(G31*F33)/100</f>
        <v>0</v>
      </c>
    </row>
    <row r="34" spans="1:7" ht="15" thickTop="1" thickBot="1" x14ac:dyDescent="0.35">
      <c r="A34" s="173"/>
      <c r="B34" s="174"/>
      <c r="C34" s="175"/>
      <c r="D34" s="3"/>
      <c r="E34" s="72" t="s">
        <v>1</v>
      </c>
      <c r="F34" s="71" t="str">
        <f>F12</f>
        <v>AED</v>
      </c>
      <c r="G34" s="13">
        <f>G31+G32-G33</f>
        <v>3351.6</v>
      </c>
    </row>
    <row r="35" spans="1:7" ht="13.5" customHeight="1" thickTop="1" x14ac:dyDescent="0.3">
      <c r="A35" s="30"/>
      <c r="B35" s="30"/>
      <c r="C35" s="26"/>
      <c r="D35" s="3"/>
      <c r="E35" s="19"/>
      <c r="F35" s="19"/>
      <c r="G35" s="29"/>
    </row>
    <row r="36" spans="1:7" ht="17.25" customHeight="1" x14ac:dyDescent="0.3">
      <c r="A36" s="166" t="s">
        <v>33</v>
      </c>
      <c r="B36" s="166"/>
      <c r="C36" s="31"/>
      <c r="D36" s="3"/>
      <c r="E36" s="166" t="s">
        <v>14</v>
      </c>
      <c r="F36" s="166"/>
      <c r="G36" s="166"/>
    </row>
    <row r="37" spans="1:7" x14ac:dyDescent="0.3">
      <c r="A37" s="27"/>
      <c r="B37" s="27"/>
      <c r="C37" s="27"/>
      <c r="D37" s="3"/>
      <c r="E37" s="3"/>
      <c r="F37" s="3"/>
      <c r="G37" s="3"/>
    </row>
    <row r="38" spans="1:7" ht="32.25" customHeight="1" x14ac:dyDescent="0.3">
      <c r="A38" s="117" t="s">
        <v>165</v>
      </c>
      <c r="B38" s="28"/>
      <c r="C38" s="27"/>
      <c r="D38" s="3"/>
      <c r="E38" s="14"/>
      <c r="F38" s="14"/>
      <c r="G38" s="14"/>
    </row>
    <row r="39" spans="1:7" ht="13.5" customHeight="1" x14ac:dyDescent="0.3">
      <c r="A39" s="27"/>
      <c r="B39" s="27"/>
      <c r="C39" s="27"/>
      <c r="D39" s="3"/>
      <c r="E39" s="164" t="s">
        <v>17</v>
      </c>
      <c r="F39" s="164"/>
      <c r="G39" s="164"/>
    </row>
    <row r="40" spans="1:7" x14ac:dyDescent="0.3">
      <c r="A40" s="27"/>
      <c r="B40" s="27"/>
      <c r="C40" s="27"/>
      <c r="D40" s="3"/>
      <c r="E40" s="165" t="s">
        <v>18</v>
      </c>
      <c r="F40" s="165"/>
      <c r="G40" s="165"/>
    </row>
  </sheetData>
  <mergeCells count="39">
    <mergeCell ref="A1:G1"/>
    <mergeCell ref="A3:C6"/>
    <mergeCell ref="A9:C9"/>
    <mergeCell ref="A2:G2"/>
    <mergeCell ref="F15:G15"/>
    <mergeCell ref="F5:G5"/>
    <mergeCell ref="F6:G6"/>
    <mergeCell ref="F9:G9"/>
    <mergeCell ref="F10:G10"/>
    <mergeCell ref="F14:G14"/>
    <mergeCell ref="F12:G12"/>
    <mergeCell ref="F11:G11"/>
    <mergeCell ref="A15:B15"/>
    <mergeCell ref="A32:C34"/>
    <mergeCell ref="A36:B36"/>
    <mergeCell ref="A10:C10"/>
    <mergeCell ref="A14:B14"/>
    <mergeCell ref="D9:E9"/>
    <mergeCell ref="D10:E10"/>
    <mergeCell ref="D13:E13"/>
    <mergeCell ref="A12:E12"/>
    <mergeCell ref="A11:E11"/>
    <mergeCell ref="D14:E14"/>
    <mergeCell ref="A31:C31"/>
    <mergeCell ref="D15:E15"/>
    <mergeCell ref="A17:B17"/>
    <mergeCell ref="A18:B18"/>
    <mergeCell ref="D16:E16"/>
    <mergeCell ref="A16:B16"/>
    <mergeCell ref="F17:G17"/>
    <mergeCell ref="F16:G16"/>
    <mergeCell ref="D17:E17"/>
    <mergeCell ref="E39:G39"/>
    <mergeCell ref="E40:G40"/>
    <mergeCell ref="E36:G36"/>
    <mergeCell ref="D32:E32"/>
    <mergeCell ref="D33:E33"/>
    <mergeCell ref="D18:E18"/>
    <mergeCell ref="F18:G18"/>
  </mergeCells>
  <printOptions horizontalCentered="1" verticalCentered="1"/>
  <pageMargins left="0.31496062992125984" right="0.31496062992125984" top="1.1023622047244095" bottom="0.51181102362204722" header="0.27559055118110237" footer="0.31496062992125984"/>
  <pageSetup paperSize="9" orientation="portrait" r:id="rId1"/>
  <headerFooter>
    <oddHeader>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6"/>
  <sheetViews>
    <sheetView tabSelected="1" view="pageLayout" zoomScale="70" zoomScaleNormal="100" zoomScalePageLayoutView="70" workbookViewId="0">
      <selection activeCell="B3" sqref="B3"/>
    </sheetView>
  </sheetViews>
  <sheetFormatPr defaultColWidth="9.08984375" defaultRowHeight="14.5" x14ac:dyDescent="0.35"/>
  <cols>
    <col min="1" max="1" width="9.08984375" style="87"/>
    <col min="2" max="2" width="31.453125" style="87" customWidth="1"/>
    <col min="3" max="3" width="69.54296875" style="87" customWidth="1"/>
    <col min="4" max="4" width="12" style="87" customWidth="1"/>
    <col min="5" max="5" width="11.6328125" style="87" customWidth="1"/>
    <col min="6" max="6" width="14.453125" style="87" customWidth="1"/>
    <col min="7" max="8" width="15.54296875" style="87" customWidth="1"/>
    <col min="9" max="16384" width="9.08984375" style="87"/>
  </cols>
  <sheetData>
    <row r="1" spans="1:10" ht="39" customHeight="1" thickBot="1" x14ac:dyDescent="0.4">
      <c r="A1" s="196" t="s">
        <v>187</v>
      </c>
      <c r="B1" s="196"/>
      <c r="C1" s="197" t="s">
        <v>167</v>
      </c>
      <c r="D1" s="197"/>
      <c r="E1" s="197"/>
      <c r="F1" s="86"/>
      <c r="G1" s="197"/>
      <c r="H1" s="197"/>
    </row>
    <row r="2" spans="1:10" ht="24.65" customHeight="1" x14ac:dyDescent="0.35">
      <c r="A2" s="102" t="s">
        <v>124</v>
      </c>
      <c r="B2" s="88" t="s">
        <v>125</v>
      </c>
      <c r="C2" s="88" t="s">
        <v>16</v>
      </c>
      <c r="D2" s="88" t="s">
        <v>126</v>
      </c>
      <c r="E2" s="88" t="s">
        <v>127</v>
      </c>
      <c r="F2" s="88" t="s">
        <v>128</v>
      </c>
      <c r="G2" s="88" t="s">
        <v>129</v>
      </c>
      <c r="H2" s="103" t="s">
        <v>47</v>
      </c>
    </row>
    <row r="3" spans="1:10" ht="43.75" customHeight="1" x14ac:dyDescent="0.35">
      <c r="A3" s="132">
        <v>1</v>
      </c>
      <c r="B3" s="133" t="s">
        <v>171</v>
      </c>
      <c r="C3" s="134" t="s">
        <v>168</v>
      </c>
      <c r="D3" s="135" t="s">
        <v>169</v>
      </c>
      <c r="E3" s="135">
        <v>1</v>
      </c>
      <c r="F3" s="136">
        <v>2400</v>
      </c>
      <c r="G3" s="137">
        <f t="shared" ref="G3:G10" si="0">E3*F3</f>
        <v>2400</v>
      </c>
      <c r="H3" s="138"/>
    </row>
    <row r="4" spans="1:10" x14ac:dyDescent="0.35">
      <c r="A4" s="139">
        <v>2</v>
      </c>
      <c r="B4" s="140" t="s">
        <v>172</v>
      </c>
      <c r="C4" s="141" t="s">
        <v>170</v>
      </c>
      <c r="D4" s="142" t="s">
        <v>169</v>
      </c>
      <c r="E4" s="143">
        <v>1</v>
      </c>
      <c r="F4" s="144">
        <v>585</v>
      </c>
      <c r="G4" s="145">
        <f t="shared" si="0"/>
        <v>585</v>
      </c>
      <c r="H4" s="146"/>
    </row>
    <row r="5" spans="1:10" x14ac:dyDescent="0.35">
      <c r="A5" s="139">
        <v>3</v>
      </c>
      <c r="B5" s="147" t="s">
        <v>177</v>
      </c>
      <c r="C5" s="141" t="s">
        <v>173</v>
      </c>
      <c r="D5" s="142" t="s">
        <v>169</v>
      </c>
      <c r="E5" s="143">
        <v>1</v>
      </c>
      <c r="F5" s="144">
        <v>150</v>
      </c>
      <c r="G5" s="145">
        <f>E5*F5</f>
        <v>150</v>
      </c>
      <c r="H5" s="146"/>
    </row>
    <row r="6" spans="1:10" x14ac:dyDescent="0.35">
      <c r="A6" s="139">
        <v>4</v>
      </c>
      <c r="B6" s="148" t="s">
        <v>178</v>
      </c>
      <c r="C6" s="141" t="s">
        <v>174</v>
      </c>
      <c r="D6" s="142" t="s">
        <v>169</v>
      </c>
      <c r="E6" s="143">
        <v>1</v>
      </c>
      <c r="F6" s="144">
        <v>107</v>
      </c>
      <c r="G6" s="145">
        <f t="shared" ref="G6:G7" si="1">E6*F6</f>
        <v>107</v>
      </c>
      <c r="H6" s="146"/>
      <c r="J6" s="104"/>
    </row>
    <row r="7" spans="1:10" ht="14.4" customHeight="1" x14ac:dyDescent="0.35">
      <c r="A7" s="139">
        <v>5</v>
      </c>
      <c r="B7" s="149" t="s">
        <v>179</v>
      </c>
      <c r="C7" s="141" t="s">
        <v>175</v>
      </c>
      <c r="D7" s="142" t="s">
        <v>169</v>
      </c>
      <c r="E7" s="143">
        <v>1</v>
      </c>
      <c r="F7" s="144">
        <v>55</v>
      </c>
      <c r="G7" s="145">
        <f t="shared" si="1"/>
        <v>55</v>
      </c>
      <c r="H7" s="146"/>
    </row>
    <row r="8" spans="1:10" x14ac:dyDescent="0.35">
      <c r="A8" s="139">
        <v>6</v>
      </c>
      <c r="B8" s="141" t="s">
        <v>180</v>
      </c>
      <c r="C8" s="141" t="s">
        <v>176</v>
      </c>
      <c r="D8" s="142" t="s">
        <v>169</v>
      </c>
      <c r="E8" s="143">
        <v>1</v>
      </c>
      <c r="F8" s="144">
        <v>28</v>
      </c>
      <c r="G8" s="145">
        <f t="shared" si="0"/>
        <v>28</v>
      </c>
      <c r="H8" s="146"/>
      <c r="J8" s="104"/>
    </row>
    <row r="9" spans="1:10" x14ac:dyDescent="0.35">
      <c r="A9" s="139"/>
      <c r="B9" s="140"/>
      <c r="C9" s="150"/>
      <c r="D9" s="142"/>
      <c r="E9" s="143"/>
      <c r="F9" s="144"/>
      <c r="G9" s="145">
        <f t="shared" si="0"/>
        <v>0</v>
      </c>
      <c r="H9" s="146"/>
      <c r="J9" s="104"/>
    </row>
    <row r="10" spans="1:10" x14ac:dyDescent="0.35">
      <c r="A10" s="139"/>
      <c r="B10" s="151"/>
      <c r="C10" s="152"/>
      <c r="D10" s="143"/>
      <c r="E10" s="143"/>
      <c r="F10" s="144"/>
      <c r="G10" s="145">
        <f t="shared" si="0"/>
        <v>0</v>
      </c>
      <c r="H10" s="146"/>
    </row>
    <row r="11" spans="1:10" ht="14.25" customHeight="1" x14ac:dyDescent="0.35">
      <c r="A11" s="139"/>
      <c r="B11" s="140"/>
      <c r="C11" s="150"/>
      <c r="D11" s="142"/>
      <c r="E11" s="143"/>
      <c r="F11" s="144"/>
      <c r="G11" s="145"/>
      <c r="H11" s="146"/>
    </row>
    <row r="12" spans="1:10" ht="14.25" customHeight="1" x14ac:dyDescent="0.35">
      <c r="A12" s="153"/>
      <c r="B12" s="140"/>
      <c r="C12" s="150"/>
      <c r="D12" s="143"/>
      <c r="E12" s="143"/>
      <c r="F12" s="144"/>
      <c r="G12" s="144"/>
      <c r="H12" s="146"/>
    </row>
    <row r="13" spans="1:10" x14ac:dyDescent="0.35">
      <c r="A13" s="153"/>
      <c r="B13" s="140"/>
      <c r="C13" s="150"/>
      <c r="D13" s="143"/>
      <c r="E13" s="143"/>
      <c r="F13" s="144"/>
      <c r="G13" s="144"/>
      <c r="H13" s="146"/>
    </row>
    <row r="14" spans="1:10" x14ac:dyDescent="0.35">
      <c r="A14" s="153"/>
      <c r="B14" s="140"/>
      <c r="C14" s="150"/>
      <c r="D14" s="143"/>
      <c r="E14" s="143"/>
      <c r="F14" s="144"/>
      <c r="G14" s="144"/>
      <c r="H14" s="146"/>
    </row>
    <row r="15" spans="1:10" x14ac:dyDescent="0.35">
      <c r="A15" s="153"/>
      <c r="B15" s="140"/>
      <c r="C15" s="140"/>
      <c r="D15" s="143"/>
      <c r="E15" s="143"/>
      <c r="F15" s="144"/>
      <c r="G15" s="144"/>
      <c r="H15" s="146"/>
    </row>
    <row r="16" spans="1:10" x14ac:dyDescent="0.35">
      <c r="A16" s="153"/>
      <c r="B16" s="140"/>
      <c r="C16" s="140"/>
      <c r="D16" s="143"/>
      <c r="E16" s="143"/>
      <c r="F16" s="144"/>
      <c r="G16" s="145"/>
      <c r="H16" s="146"/>
    </row>
    <row r="17" spans="1:8" x14ac:dyDescent="0.35">
      <c r="A17" s="153"/>
      <c r="B17" s="140"/>
      <c r="C17" s="140"/>
      <c r="D17" s="140"/>
      <c r="E17" s="143"/>
      <c r="F17" s="140"/>
      <c r="G17" s="145"/>
      <c r="H17" s="146"/>
    </row>
    <row r="18" spans="1:8" x14ac:dyDescent="0.35">
      <c r="A18" s="154"/>
      <c r="B18" s="155"/>
      <c r="C18" s="155"/>
      <c r="D18" s="155"/>
      <c r="E18" s="156"/>
      <c r="F18" s="155"/>
      <c r="G18" s="157"/>
      <c r="H18" s="158"/>
    </row>
    <row r="19" spans="1:8" ht="19.5" customHeight="1" x14ac:dyDescent="0.35">
      <c r="A19" s="126"/>
      <c r="B19" s="127"/>
      <c r="C19" s="128" t="s">
        <v>130</v>
      </c>
      <c r="D19" s="128"/>
      <c r="E19" s="129"/>
      <c r="F19" s="129" t="s">
        <v>32</v>
      </c>
      <c r="G19" s="130">
        <f>SUM(G3:G18)</f>
        <v>3325</v>
      </c>
      <c r="H19" s="131"/>
    </row>
    <row r="20" spans="1:8" x14ac:dyDescent="0.35">
      <c r="A20" s="89"/>
      <c r="B20" s="90"/>
      <c r="C20" s="91" t="s">
        <v>184</v>
      </c>
      <c r="D20" s="91"/>
      <c r="E20" s="92"/>
      <c r="F20" s="125">
        <v>0.04</v>
      </c>
      <c r="G20" s="93">
        <f>F20*G19</f>
        <v>133</v>
      </c>
      <c r="H20" s="94"/>
    </row>
    <row r="21" spans="1:8" ht="15" thickBot="1" x14ac:dyDescent="0.4">
      <c r="A21" s="95"/>
      <c r="B21" s="96"/>
      <c r="C21" s="97" t="s">
        <v>131</v>
      </c>
      <c r="D21" s="97"/>
      <c r="E21" s="98"/>
      <c r="F21" s="98" t="s">
        <v>32</v>
      </c>
      <c r="G21" s="99">
        <f>G19-G20</f>
        <v>3192</v>
      </c>
      <c r="H21" s="100"/>
    </row>
    <row r="24" spans="1:8" x14ac:dyDescent="0.35">
      <c r="B24" s="87" t="s">
        <v>188</v>
      </c>
      <c r="C24" s="87" t="s">
        <v>189</v>
      </c>
    </row>
    <row r="25" spans="1:8" x14ac:dyDescent="0.35">
      <c r="C25" s="87" t="s">
        <v>190</v>
      </c>
    </row>
    <row r="26" spans="1:8" x14ac:dyDescent="0.35">
      <c r="B26" s="87" t="s">
        <v>191</v>
      </c>
      <c r="C26" s="87" t="s">
        <v>192</v>
      </c>
    </row>
  </sheetData>
  <mergeCells count="3">
    <mergeCell ref="A1:B1"/>
    <mergeCell ref="C1:E1"/>
    <mergeCell ref="G1:H1"/>
  </mergeCells>
  <pageMargins left="0.70866141732283472" right="0.70866141732283472" top="0.74803149606299213" bottom="0.74803149606299213" header="0.31496062992125984" footer="0.31496062992125984"/>
  <pageSetup scale="68" orientation="landscape" r:id="rId1"/>
  <headerFooter>
    <oddHeader>&amp;R&amp;G&amp;G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49"/>
  <sheetViews>
    <sheetView zoomScaleNormal="100" workbookViewId="0">
      <selection activeCell="G9" sqref="G9"/>
    </sheetView>
  </sheetViews>
  <sheetFormatPr defaultRowHeight="14.5" x14ac:dyDescent="0.35"/>
  <cols>
    <col min="1" max="1" width="11.6328125" customWidth="1"/>
    <col min="2" max="2" width="14.54296875" customWidth="1"/>
    <col min="3" max="3" width="26.08984375" customWidth="1"/>
    <col min="4" max="5" width="34.453125" customWidth="1"/>
    <col min="6" max="6" width="19.6328125" bestFit="1" customWidth="1"/>
    <col min="7" max="7" width="17.90625" bestFit="1" customWidth="1"/>
    <col min="8" max="8" width="19.36328125" customWidth="1"/>
    <col min="9" max="9" width="42.36328125" bestFit="1" customWidth="1"/>
    <col min="10" max="10" width="12.54296875" customWidth="1"/>
    <col min="11" max="11" width="21.453125" customWidth="1"/>
    <col min="12" max="12" width="35.36328125" bestFit="1" customWidth="1"/>
    <col min="13" max="13" width="16.6328125" customWidth="1"/>
    <col min="14" max="14" width="16.90625" customWidth="1"/>
  </cols>
  <sheetData>
    <row r="1" spans="1:15" ht="40.5" customHeight="1" thickBot="1" x14ac:dyDescent="0.7">
      <c r="A1" s="198" t="s">
        <v>34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</row>
    <row r="2" spans="1:15" ht="29.5" thickBot="1" x14ac:dyDescent="0.4">
      <c r="A2" s="34" t="s">
        <v>35</v>
      </c>
      <c r="B2" s="35" t="s">
        <v>36</v>
      </c>
      <c r="C2" s="36" t="s">
        <v>16</v>
      </c>
      <c r="D2" s="36" t="s">
        <v>37</v>
      </c>
      <c r="E2" s="36" t="s">
        <v>38</v>
      </c>
      <c r="F2" s="36" t="s">
        <v>39</v>
      </c>
      <c r="G2" s="36" t="s">
        <v>40</v>
      </c>
      <c r="H2" s="36" t="s">
        <v>41</v>
      </c>
      <c r="I2" s="36" t="s">
        <v>42</v>
      </c>
      <c r="J2" s="36" t="s">
        <v>43</v>
      </c>
      <c r="K2" s="36" t="s">
        <v>44</v>
      </c>
      <c r="L2" s="36" t="s">
        <v>45</v>
      </c>
      <c r="M2" s="37" t="s">
        <v>46</v>
      </c>
      <c r="N2" s="38" t="s">
        <v>47</v>
      </c>
    </row>
    <row r="3" spans="1:15" ht="18" customHeight="1" x14ac:dyDescent="0.35">
      <c r="A3" s="80" t="s">
        <v>48</v>
      </c>
      <c r="B3" s="81">
        <v>91010</v>
      </c>
      <c r="C3" s="80" t="str">
        <f t="shared" ref="C3:C8" si="0">VLOOKUP(B3,TAB_PG,2,2)</f>
        <v xml:space="preserve">Construction &amp; repair </v>
      </c>
      <c r="D3" s="80" t="s">
        <v>49</v>
      </c>
      <c r="E3" s="40" t="s">
        <v>50</v>
      </c>
      <c r="F3" s="39"/>
      <c r="G3" s="39" t="s">
        <v>51</v>
      </c>
      <c r="H3" s="41" t="s">
        <v>52</v>
      </c>
      <c r="I3" s="42" t="s">
        <v>53</v>
      </c>
      <c r="J3" s="43" t="s">
        <v>54</v>
      </c>
      <c r="K3" s="44" t="s">
        <v>55</v>
      </c>
      <c r="L3" s="45"/>
      <c r="M3" s="75">
        <v>30</v>
      </c>
      <c r="N3" s="46"/>
    </row>
    <row r="4" spans="1:15" x14ac:dyDescent="0.35">
      <c r="A4" s="82" t="s">
        <v>109</v>
      </c>
      <c r="B4" s="83">
        <v>21010</v>
      </c>
      <c r="C4" s="82" t="str">
        <f t="shared" si="0"/>
        <v>Control Components</v>
      </c>
      <c r="D4" s="82" t="s">
        <v>110</v>
      </c>
      <c r="E4" s="43"/>
      <c r="F4" s="43" t="s">
        <v>112</v>
      </c>
      <c r="G4" s="43" t="s">
        <v>111</v>
      </c>
      <c r="H4" s="44" t="s">
        <v>113</v>
      </c>
      <c r="I4" s="42" t="s">
        <v>114</v>
      </c>
      <c r="J4" s="43" t="s">
        <v>54</v>
      </c>
      <c r="K4" s="44"/>
      <c r="L4" s="48" t="s">
        <v>115</v>
      </c>
      <c r="M4" s="76" t="s">
        <v>116</v>
      </c>
      <c r="N4" s="49"/>
    </row>
    <row r="5" spans="1:15" x14ac:dyDescent="0.35">
      <c r="A5" s="82" t="s">
        <v>123</v>
      </c>
      <c r="B5" s="83">
        <v>21010</v>
      </c>
      <c r="C5" s="82" t="str">
        <f t="shared" si="0"/>
        <v>Control Components</v>
      </c>
      <c r="D5" s="84" t="s">
        <v>118</v>
      </c>
      <c r="E5" s="43"/>
      <c r="F5" s="43" t="s">
        <v>119</v>
      </c>
      <c r="G5" s="43" t="s">
        <v>138</v>
      </c>
      <c r="H5" s="44" t="s">
        <v>137</v>
      </c>
      <c r="I5" s="42" t="s">
        <v>120</v>
      </c>
      <c r="J5" s="43" t="s">
        <v>54</v>
      </c>
      <c r="K5" s="44" t="s">
        <v>122</v>
      </c>
      <c r="L5" s="48" t="s">
        <v>121</v>
      </c>
      <c r="M5" s="76" t="s">
        <v>136</v>
      </c>
      <c r="N5" s="49"/>
    </row>
    <row r="6" spans="1:15" x14ac:dyDescent="0.35">
      <c r="A6" s="82" t="s">
        <v>139</v>
      </c>
      <c r="B6" s="47">
        <v>21010</v>
      </c>
      <c r="C6" s="82" t="str">
        <f t="shared" si="0"/>
        <v>Control Components</v>
      </c>
      <c r="D6" s="43" t="s">
        <v>140</v>
      </c>
      <c r="E6" s="43"/>
      <c r="F6" s="43" t="s">
        <v>141</v>
      </c>
      <c r="G6" s="43"/>
      <c r="H6" s="43"/>
      <c r="I6" s="43" t="s">
        <v>144</v>
      </c>
      <c r="J6" s="43" t="s">
        <v>54</v>
      </c>
      <c r="K6" s="44" t="s">
        <v>142</v>
      </c>
      <c r="L6" s="48" t="s">
        <v>143</v>
      </c>
      <c r="M6" s="76" t="s">
        <v>116</v>
      </c>
      <c r="N6" s="49"/>
    </row>
    <row r="7" spans="1:15" x14ac:dyDescent="0.35">
      <c r="A7" s="82" t="s">
        <v>153</v>
      </c>
      <c r="B7" s="47">
        <v>21040</v>
      </c>
      <c r="C7" s="82" t="str">
        <f t="shared" si="0"/>
        <v>Power &amp; Control Cables</v>
      </c>
      <c r="D7" s="105" t="s">
        <v>145</v>
      </c>
      <c r="E7" s="106" t="s">
        <v>146</v>
      </c>
      <c r="F7" s="105"/>
      <c r="G7" s="105" t="s">
        <v>147</v>
      </c>
      <c r="H7" s="107" t="s">
        <v>148</v>
      </c>
      <c r="I7" s="108" t="s">
        <v>152</v>
      </c>
      <c r="J7" s="43" t="s">
        <v>54</v>
      </c>
      <c r="K7" s="107" t="s">
        <v>149</v>
      </c>
      <c r="L7" s="109" t="s">
        <v>150</v>
      </c>
      <c r="M7" s="76" t="s">
        <v>136</v>
      </c>
      <c r="N7" s="110">
        <v>0</v>
      </c>
      <c r="O7" s="111" t="s">
        <v>151</v>
      </c>
    </row>
    <row r="8" spans="1:15" x14ac:dyDescent="0.35">
      <c r="A8" s="82" t="s">
        <v>157</v>
      </c>
      <c r="B8" s="47">
        <v>21030</v>
      </c>
      <c r="C8" s="82" t="str">
        <f t="shared" si="0"/>
        <v>DB, UPS &amp; Switchboard</v>
      </c>
      <c r="D8" s="42" t="s">
        <v>158</v>
      </c>
      <c r="E8" s="106" t="s">
        <v>159</v>
      </c>
      <c r="F8" s="43" t="s">
        <v>160</v>
      </c>
      <c r="G8" s="43" t="s">
        <v>186</v>
      </c>
      <c r="H8" s="107" t="s">
        <v>161</v>
      </c>
      <c r="I8" s="108" t="s">
        <v>162</v>
      </c>
      <c r="J8" s="43" t="s">
        <v>54</v>
      </c>
      <c r="K8" s="107" t="s">
        <v>163</v>
      </c>
      <c r="L8" s="48" t="s">
        <v>164</v>
      </c>
      <c r="M8" s="76" t="s">
        <v>116</v>
      </c>
      <c r="N8" s="49"/>
    </row>
    <row r="9" spans="1:15" x14ac:dyDescent="0.35">
      <c r="A9" s="43"/>
      <c r="B9" s="47"/>
      <c r="C9" s="43"/>
      <c r="D9" s="43"/>
      <c r="E9" s="43"/>
      <c r="F9" s="43"/>
      <c r="G9" s="43"/>
      <c r="H9" s="43"/>
      <c r="I9" s="42"/>
      <c r="J9" s="43"/>
      <c r="K9" s="44"/>
      <c r="L9" s="48"/>
      <c r="M9" s="76"/>
      <c r="N9" s="49"/>
    </row>
    <row r="10" spans="1:15" x14ac:dyDescent="0.35">
      <c r="A10" s="43"/>
      <c r="B10" s="47"/>
      <c r="C10" s="43"/>
      <c r="D10" s="43"/>
      <c r="E10" s="43"/>
      <c r="F10" s="43"/>
      <c r="G10" s="43"/>
      <c r="H10" s="43"/>
      <c r="I10" s="43"/>
      <c r="J10" s="43"/>
      <c r="K10" s="44"/>
      <c r="L10" s="48"/>
      <c r="M10" s="76"/>
      <c r="N10" s="49"/>
    </row>
    <row r="11" spans="1:15" x14ac:dyDescent="0.35">
      <c r="A11" s="43"/>
      <c r="B11" s="47"/>
      <c r="C11" s="43"/>
      <c r="D11" s="43"/>
      <c r="E11" s="43"/>
      <c r="F11" s="43"/>
      <c r="G11" s="43"/>
      <c r="H11" s="43"/>
      <c r="I11" s="43"/>
      <c r="J11" s="43"/>
      <c r="K11" s="44"/>
      <c r="L11" s="48"/>
      <c r="M11" s="76"/>
      <c r="N11" s="49"/>
    </row>
    <row r="12" spans="1:15" x14ac:dyDescent="0.35">
      <c r="A12" s="43"/>
      <c r="B12" s="47"/>
      <c r="C12" s="43"/>
      <c r="D12" s="43"/>
      <c r="E12" s="43"/>
      <c r="F12" s="43"/>
      <c r="G12" s="43"/>
      <c r="H12" s="43"/>
      <c r="J12" s="43"/>
      <c r="K12" s="44"/>
      <c r="L12" s="48"/>
      <c r="M12" s="76"/>
      <c r="N12" s="49"/>
    </row>
    <row r="13" spans="1:15" x14ac:dyDescent="0.35">
      <c r="A13" s="43"/>
      <c r="B13" s="47"/>
      <c r="C13" s="43"/>
      <c r="D13" s="43"/>
      <c r="E13" s="43"/>
      <c r="F13" s="43"/>
      <c r="G13" s="43"/>
      <c r="H13" s="43"/>
      <c r="I13" s="42"/>
      <c r="J13" s="43"/>
      <c r="K13" s="44"/>
      <c r="L13" s="48"/>
      <c r="M13" s="76"/>
      <c r="N13" s="49"/>
    </row>
    <row r="14" spans="1:15" x14ac:dyDescent="0.35">
      <c r="A14" s="43"/>
      <c r="B14" s="47"/>
      <c r="C14" s="43"/>
      <c r="D14" s="43"/>
      <c r="E14" s="43"/>
      <c r="F14" s="43"/>
      <c r="G14" s="43"/>
      <c r="H14" s="43"/>
      <c r="I14" s="43"/>
      <c r="J14" s="43"/>
      <c r="K14" s="44"/>
      <c r="L14" s="48"/>
      <c r="M14" s="76"/>
      <c r="N14" s="49"/>
    </row>
    <row r="15" spans="1:15" x14ac:dyDescent="0.35">
      <c r="A15" s="43"/>
      <c r="B15" s="47"/>
      <c r="C15" s="43"/>
      <c r="D15" s="43"/>
      <c r="E15" s="43"/>
      <c r="F15" s="43"/>
      <c r="G15" s="43"/>
      <c r="H15" s="43"/>
      <c r="I15" s="43"/>
      <c r="J15" s="43"/>
      <c r="K15" s="44"/>
      <c r="L15" s="50"/>
      <c r="M15" s="77"/>
      <c r="N15" s="49"/>
    </row>
    <row r="16" spans="1:15" x14ac:dyDescent="0.35">
      <c r="A16" s="43"/>
      <c r="B16" s="47"/>
      <c r="C16" s="43"/>
      <c r="D16" s="43"/>
      <c r="E16" s="43"/>
      <c r="F16" s="43"/>
      <c r="G16" s="43"/>
      <c r="H16" s="43"/>
      <c r="I16" s="43"/>
      <c r="J16" s="43"/>
      <c r="K16" s="44"/>
      <c r="L16" s="43"/>
      <c r="M16" s="78"/>
      <c r="N16" s="49"/>
    </row>
    <row r="17" spans="1:14" x14ac:dyDescent="0.35">
      <c r="A17" s="43"/>
      <c r="B17" s="47"/>
      <c r="C17" s="43"/>
      <c r="D17" s="43"/>
      <c r="E17" s="43"/>
      <c r="F17" s="43"/>
      <c r="G17" s="43"/>
      <c r="H17" s="43"/>
      <c r="I17" s="43"/>
      <c r="J17" s="43"/>
      <c r="K17" s="44"/>
      <c r="L17" s="43"/>
      <c r="M17" s="78"/>
      <c r="N17" s="49"/>
    </row>
    <row r="18" spans="1:14" x14ac:dyDescent="0.35">
      <c r="A18" s="43"/>
      <c r="B18" s="47"/>
      <c r="C18" s="43"/>
      <c r="D18" s="43"/>
      <c r="E18" s="43"/>
      <c r="F18" s="43"/>
      <c r="G18" s="43"/>
      <c r="H18" s="43"/>
      <c r="I18" s="43"/>
      <c r="J18" s="43"/>
      <c r="K18" s="44"/>
      <c r="L18" s="43"/>
      <c r="M18" s="78"/>
      <c r="N18" s="49"/>
    </row>
    <row r="19" spans="1:14" x14ac:dyDescent="0.35">
      <c r="A19" s="52"/>
      <c r="B19" s="53"/>
      <c r="C19" s="43"/>
      <c r="D19" s="43"/>
      <c r="E19" s="43"/>
      <c r="F19" s="43"/>
      <c r="G19" s="43"/>
      <c r="H19" s="43"/>
      <c r="J19" s="43"/>
      <c r="K19" s="43"/>
      <c r="L19" s="43"/>
      <c r="M19" s="78"/>
      <c r="N19" s="49"/>
    </row>
    <row r="20" spans="1:14" x14ac:dyDescent="0.35">
      <c r="A20" s="52"/>
      <c r="B20" s="53"/>
      <c r="C20" s="43"/>
      <c r="D20" s="43"/>
      <c r="E20" s="43"/>
      <c r="F20" s="43"/>
      <c r="G20" s="43"/>
      <c r="H20" s="43"/>
      <c r="I20" s="54"/>
      <c r="J20" s="43"/>
      <c r="K20" s="43"/>
      <c r="L20" s="43"/>
      <c r="M20" s="78"/>
      <c r="N20" s="49"/>
    </row>
    <row r="21" spans="1:14" x14ac:dyDescent="0.35">
      <c r="A21" s="52"/>
      <c r="B21" s="53"/>
      <c r="C21" s="43"/>
      <c r="D21" s="43"/>
      <c r="E21" s="43"/>
      <c r="F21" s="43"/>
      <c r="G21" s="43"/>
      <c r="H21" s="43"/>
      <c r="J21" s="43"/>
      <c r="K21" s="43"/>
      <c r="L21" s="43"/>
      <c r="M21" s="78"/>
      <c r="N21" s="49"/>
    </row>
    <row r="22" spans="1:14" x14ac:dyDescent="0.35">
      <c r="A22" s="52"/>
      <c r="B22" s="53"/>
      <c r="C22" s="43"/>
      <c r="D22" s="43"/>
      <c r="E22" s="43"/>
      <c r="F22" s="43"/>
      <c r="G22" s="43"/>
      <c r="H22" s="43"/>
      <c r="J22" s="43"/>
      <c r="K22" s="43"/>
      <c r="L22" s="43"/>
      <c r="M22" s="78"/>
      <c r="N22" s="49"/>
    </row>
    <row r="23" spans="1:14" x14ac:dyDescent="0.35">
      <c r="A23" s="52"/>
      <c r="B23" s="53"/>
      <c r="C23" s="43"/>
      <c r="D23" s="43"/>
      <c r="E23" s="43"/>
      <c r="F23" s="43"/>
      <c r="G23" s="43"/>
      <c r="H23" s="43"/>
      <c r="J23" s="43"/>
      <c r="K23" s="43"/>
      <c r="L23" s="43"/>
      <c r="M23" s="78"/>
      <c r="N23" s="49"/>
    </row>
    <row r="24" spans="1:14" x14ac:dyDescent="0.35">
      <c r="A24" s="52"/>
      <c r="B24" s="53"/>
      <c r="C24" s="43"/>
      <c r="D24" s="43"/>
      <c r="E24" s="43"/>
      <c r="F24" s="43"/>
      <c r="G24" s="43"/>
      <c r="H24" s="43"/>
      <c r="J24" s="43"/>
      <c r="K24" s="43"/>
      <c r="L24" s="43"/>
      <c r="M24" s="78"/>
      <c r="N24" s="49"/>
    </row>
    <row r="25" spans="1:14" x14ac:dyDescent="0.35">
      <c r="A25" s="52"/>
      <c r="B25" s="53"/>
      <c r="C25" s="43"/>
      <c r="D25" s="43"/>
      <c r="E25" s="43"/>
      <c r="F25" s="43"/>
      <c r="G25" s="43"/>
      <c r="H25" s="43"/>
      <c r="J25" s="43"/>
      <c r="K25" s="43"/>
      <c r="L25" s="43"/>
      <c r="M25" s="78"/>
      <c r="N25" s="49"/>
    </row>
    <row r="26" spans="1:14" x14ac:dyDescent="0.35">
      <c r="A26" s="52"/>
      <c r="B26" s="53"/>
      <c r="C26" s="43"/>
      <c r="D26" s="43"/>
      <c r="E26" s="43"/>
      <c r="F26" s="43"/>
      <c r="G26" s="43"/>
      <c r="H26" s="43"/>
      <c r="I26" s="55"/>
      <c r="J26" s="43"/>
      <c r="K26" s="43"/>
      <c r="L26" s="43"/>
      <c r="M26" s="78"/>
      <c r="N26" s="49"/>
    </row>
    <row r="27" spans="1:14" x14ac:dyDescent="0.35">
      <c r="A27" s="52"/>
      <c r="B27" s="5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78"/>
      <c r="N27" s="49"/>
    </row>
    <row r="28" spans="1:14" x14ac:dyDescent="0.35">
      <c r="A28" s="52"/>
      <c r="B28" s="5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79"/>
      <c r="N28" s="49"/>
    </row>
    <row r="29" spans="1:14" x14ac:dyDescent="0.35">
      <c r="A29" s="52"/>
      <c r="B29" s="5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79"/>
      <c r="N29" s="49"/>
    </row>
    <row r="30" spans="1:14" x14ac:dyDescent="0.35">
      <c r="A30" s="52"/>
      <c r="B30" s="5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79"/>
      <c r="N30" s="49"/>
    </row>
    <row r="31" spans="1:14" x14ac:dyDescent="0.35">
      <c r="A31" s="52"/>
      <c r="B31" s="5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79"/>
      <c r="N31" s="49"/>
    </row>
    <row r="32" spans="1:14" x14ac:dyDescent="0.35">
      <c r="A32" s="52"/>
      <c r="B32" s="5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51"/>
      <c r="N32" s="49"/>
    </row>
    <row r="33" spans="1:14" x14ac:dyDescent="0.35">
      <c r="A33" s="52"/>
      <c r="B33" s="5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51"/>
      <c r="N33" s="49"/>
    </row>
    <row r="34" spans="1:14" x14ac:dyDescent="0.35">
      <c r="A34" s="52"/>
      <c r="B34" s="5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51"/>
      <c r="N34" s="49"/>
    </row>
    <row r="35" spans="1:14" x14ac:dyDescent="0.35">
      <c r="A35" s="52"/>
      <c r="B35" s="5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51"/>
      <c r="N35" s="49"/>
    </row>
    <row r="36" spans="1:14" x14ac:dyDescent="0.35">
      <c r="A36" s="52"/>
      <c r="B36" s="5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51"/>
      <c r="N36" s="49"/>
    </row>
    <row r="37" spans="1:14" x14ac:dyDescent="0.35">
      <c r="A37" s="52"/>
      <c r="B37" s="5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51"/>
      <c r="N37" s="49"/>
    </row>
    <row r="38" spans="1:14" x14ac:dyDescent="0.35">
      <c r="A38" s="52"/>
      <c r="B38" s="5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51"/>
      <c r="N38" s="49"/>
    </row>
    <row r="39" spans="1:14" x14ac:dyDescent="0.35">
      <c r="A39" s="52"/>
      <c r="B39" s="5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51"/>
      <c r="N39" s="49"/>
    </row>
    <row r="40" spans="1:14" x14ac:dyDescent="0.35">
      <c r="A40" s="52"/>
      <c r="B40" s="5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51"/>
      <c r="N40" s="49"/>
    </row>
    <row r="41" spans="1:14" x14ac:dyDescent="0.35">
      <c r="A41" s="52"/>
      <c r="B41" s="5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51"/>
      <c r="N41" s="49"/>
    </row>
    <row r="42" spans="1:14" x14ac:dyDescent="0.35">
      <c r="A42" s="52"/>
      <c r="B42" s="5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51"/>
      <c r="N42" s="49"/>
    </row>
    <row r="43" spans="1:14" x14ac:dyDescent="0.35">
      <c r="A43" s="52"/>
      <c r="B43" s="5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51"/>
      <c r="N43" s="49"/>
    </row>
    <row r="44" spans="1:14" x14ac:dyDescent="0.35">
      <c r="A44" s="52"/>
      <c r="B44" s="5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51"/>
      <c r="N44" s="49"/>
    </row>
    <row r="45" spans="1:14" x14ac:dyDescent="0.35">
      <c r="A45" s="52"/>
      <c r="B45" s="5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51"/>
      <c r="N45" s="49"/>
    </row>
    <row r="46" spans="1:14" x14ac:dyDescent="0.35">
      <c r="A46" s="52"/>
      <c r="B46" s="5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51"/>
      <c r="N46" s="49"/>
    </row>
    <row r="47" spans="1:14" x14ac:dyDescent="0.35">
      <c r="A47" s="52"/>
      <c r="B47" s="5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51"/>
      <c r="N47" s="49"/>
    </row>
    <row r="48" spans="1:14" ht="15" thickBot="1" x14ac:dyDescent="0.4">
      <c r="A48" s="56"/>
      <c r="B48" s="57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60"/>
    </row>
    <row r="49" spans="1:14" ht="15" thickBot="1" x14ac:dyDescent="0.4">
      <c r="A49" s="61"/>
      <c r="B49" s="62"/>
      <c r="C49" s="62"/>
      <c r="D49" s="62">
        <f>COUNTA(D3:D48)</f>
        <v>6</v>
      </c>
      <c r="E49" s="62"/>
      <c r="F49" s="62"/>
      <c r="G49" s="62"/>
      <c r="H49" s="62"/>
      <c r="I49" s="62"/>
      <c r="J49" s="62"/>
      <c r="K49" s="62"/>
      <c r="L49" s="62"/>
      <c r="M49" s="62"/>
      <c r="N49" s="63"/>
    </row>
  </sheetData>
  <mergeCells count="1">
    <mergeCell ref="A1:N1"/>
  </mergeCells>
  <dataValidations count="1">
    <dataValidation type="list" allowBlank="1" showInputMessage="1" showErrorMessage="1" sqref="A19:A48 B3:B48" xr:uid="{00000000-0002-0000-0200-000000000000}">
      <formula1>PG</formula1>
    </dataValidation>
  </dataValidations>
  <hyperlinks>
    <hyperlink ref="L4" r:id="rId1" xr:uid="{00000000-0004-0000-0200-000000000000}"/>
    <hyperlink ref="L5" r:id="rId2" xr:uid="{00000000-0004-0000-0200-000001000000}"/>
    <hyperlink ref="L6" r:id="rId3" xr:uid="{00000000-0004-0000-0200-000002000000}"/>
    <hyperlink ref="L7" r:id="rId4" xr:uid="{00000000-0004-0000-0200-000003000000}"/>
    <hyperlink ref="L8" r:id="rId5" xr:uid="{00000000-0004-0000-0200-000004000000}"/>
  </hyperlinks>
  <pageMargins left="0.70866141732283472" right="0.70866141732283472" top="0.74803149606299213" bottom="0.74803149606299213" header="0.31496062992125984" footer="0.31496062992125984"/>
  <pageSetup paperSize="9" scale="50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63"/>
  <sheetViews>
    <sheetView workbookViewId="0">
      <selection activeCell="B11" sqref="B11"/>
    </sheetView>
  </sheetViews>
  <sheetFormatPr defaultRowHeight="14.5" x14ac:dyDescent="0.35"/>
  <cols>
    <col min="2" max="2" width="11.90625" customWidth="1"/>
    <col min="3" max="3" width="36.453125" customWidth="1"/>
  </cols>
  <sheetData>
    <row r="1" spans="2:3" ht="19" thickBot="1" x14ac:dyDescent="0.5">
      <c r="B1" s="199" t="s">
        <v>56</v>
      </c>
      <c r="C1" s="200"/>
    </row>
    <row r="2" spans="2:3" ht="15" thickBot="1" x14ac:dyDescent="0.4">
      <c r="B2" s="64" t="s">
        <v>57</v>
      </c>
      <c r="C2" s="65" t="s">
        <v>58</v>
      </c>
    </row>
    <row r="3" spans="2:3" x14ac:dyDescent="0.35">
      <c r="B3" s="66">
        <v>11000</v>
      </c>
      <c r="C3" s="67" t="s">
        <v>59</v>
      </c>
    </row>
    <row r="4" spans="2:3" x14ac:dyDescent="0.35">
      <c r="B4" s="68">
        <v>11010</v>
      </c>
      <c r="C4" s="49" t="s">
        <v>60</v>
      </c>
    </row>
    <row r="5" spans="2:3" x14ac:dyDescent="0.35">
      <c r="B5" s="68">
        <v>11020</v>
      </c>
      <c r="C5" s="49" t="s">
        <v>61</v>
      </c>
    </row>
    <row r="6" spans="2:3" x14ac:dyDescent="0.35">
      <c r="B6" s="68">
        <v>11030</v>
      </c>
      <c r="C6" s="49" t="s">
        <v>62</v>
      </c>
    </row>
    <row r="7" spans="2:3" x14ac:dyDescent="0.35">
      <c r="B7" s="68">
        <v>11040</v>
      </c>
      <c r="C7" s="49" t="s">
        <v>63</v>
      </c>
    </row>
    <row r="8" spans="2:3" x14ac:dyDescent="0.35">
      <c r="B8" s="68">
        <v>11050</v>
      </c>
      <c r="C8" s="49" t="s">
        <v>64</v>
      </c>
    </row>
    <row r="9" spans="2:3" x14ac:dyDescent="0.35">
      <c r="B9" s="68">
        <v>11060</v>
      </c>
      <c r="C9" s="49" t="s">
        <v>65</v>
      </c>
    </row>
    <row r="10" spans="2:3" x14ac:dyDescent="0.35">
      <c r="B10" s="69">
        <v>21000</v>
      </c>
      <c r="C10" s="70" t="s">
        <v>66</v>
      </c>
    </row>
    <row r="11" spans="2:3" x14ac:dyDescent="0.35">
      <c r="B11" s="68">
        <v>21010</v>
      </c>
      <c r="C11" s="49" t="s">
        <v>67</v>
      </c>
    </row>
    <row r="12" spans="2:3" x14ac:dyDescent="0.35">
      <c r="B12" s="68">
        <v>21020</v>
      </c>
      <c r="C12" s="49" t="s">
        <v>68</v>
      </c>
    </row>
    <row r="13" spans="2:3" x14ac:dyDescent="0.35">
      <c r="B13" s="68">
        <v>21030</v>
      </c>
      <c r="C13" s="49" t="s">
        <v>69</v>
      </c>
    </row>
    <row r="14" spans="2:3" x14ac:dyDescent="0.35">
      <c r="B14" s="68">
        <v>21040</v>
      </c>
      <c r="C14" s="49" t="s">
        <v>70</v>
      </c>
    </row>
    <row r="15" spans="2:3" x14ac:dyDescent="0.35">
      <c r="B15" s="68">
        <v>21050</v>
      </c>
      <c r="C15" s="49" t="s">
        <v>71</v>
      </c>
    </row>
    <row r="16" spans="2:3" x14ac:dyDescent="0.35">
      <c r="B16" s="68">
        <v>21060</v>
      </c>
      <c r="C16" s="49" t="s">
        <v>72</v>
      </c>
    </row>
    <row r="17" spans="2:3" x14ac:dyDescent="0.35">
      <c r="B17" s="68">
        <v>21070</v>
      </c>
      <c r="C17" s="49" t="s">
        <v>73</v>
      </c>
    </row>
    <row r="18" spans="2:3" x14ac:dyDescent="0.35">
      <c r="B18" s="68">
        <v>21080</v>
      </c>
      <c r="C18" s="49" t="s">
        <v>71</v>
      </c>
    </row>
    <row r="19" spans="2:3" x14ac:dyDescent="0.35">
      <c r="B19" s="68">
        <v>21090</v>
      </c>
      <c r="C19" s="49" t="s">
        <v>74</v>
      </c>
    </row>
    <row r="20" spans="2:3" x14ac:dyDescent="0.35">
      <c r="B20" s="69">
        <v>31000</v>
      </c>
      <c r="C20" s="70" t="s">
        <v>75</v>
      </c>
    </row>
    <row r="21" spans="2:3" x14ac:dyDescent="0.35">
      <c r="B21" s="68">
        <v>31010</v>
      </c>
      <c r="C21" s="49" t="s">
        <v>76</v>
      </c>
    </row>
    <row r="22" spans="2:3" x14ac:dyDescent="0.35">
      <c r="B22" s="68">
        <v>31020</v>
      </c>
      <c r="C22" s="49" t="s">
        <v>77</v>
      </c>
    </row>
    <row r="23" spans="2:3" x14ac:dyDescent="0.35">
      <c r="B23" s="68">
        <v>31030</v>
      </c>
      <c r="C23" s="49" t="s">
        <v>78</v>
      </c>
    </row>
    <row r="24" spans="2:3" x14ac:dyDescent="0.35">
      <c r="B24" s="68">
        <v>31040</v>
      </c>
      <c r="C24" s="49" t="s">
        <v>79</v>
      </c>
    </row>
    <row r="25" spans="2:3" x14ac:dyDescent="0.35">
      <c r="B25" s="69">
        <v>41000</v>
      </c>
      <c r="C25" s="70" t="s">
        <v>80</v>
      </c>
    </row>
    <row r="26" spans="2:3" x14ac:dyDescent="0.35">
      <c r="B26" s="68">
        <v>41010</v>
      </c>
      <c r="C26" s="49" t="s">
        <v>81</v>
      </c>
    </row>
    <row r="27" spans="2:3" x14ac:dyDescent="0.35">
      <c r="B27" s="68">
        <v>41020</v>
      </c>
      <c r="C27" s="49" t="s">
        <v>82</v>
      </c>
    </row>
    <row r="28" spans="2:3" x14ac:dyDescent="0.35">
      <c r="B28" s="68">
        <v>41030</v>
      </c>
      <c r="C28" s="49" t="s">
        <v>83</v>
      </c>
    </row>
    <row r="29" spans="2:3" x14ac:dyDescent="0.35">
      <c r="B29" s="69">
        <v>51000</v>
      </c>
      <c r="C29" s="70" t="s">
        <v>84</v>
      </c>
    </row>
    <row r="30" spans="2:3" x14ac:dyDescent="0.35">
      <c r="B30" s="68">
        <v>51010</v>
      </c>
      <c r="C30" s="49" t="s">
        <v>85</v>
      </c>
    </row>
    <row r="31" spans="2:3" x14ac:dyDescent="0.35">
      <c r="B31" s="68">
        <v>51020</v>
      </c>
      <c r="C31" s="49" t="s">
        <v>86</v>
      </c>
    </row>
    <row r="32" spans="2:3" ht="14.15" customHeight="1" x14ac:dyDescent="0.35">
      <c r="B32" s="68">
        <v>51030</v>
      </c>
      <c r="C32" s="49" t="s">
        <v>87</v>
      </c>
    </row>
    <row r="33" spans="2:3" x14ac:dyDescent="0.35">
      <c r="B33" s="69">
        <v>61000</v>
      </c>
      <c r="C33" s="70" t="s">
        <v>88</v>
      </c>
    </row>
    <row r="34" spans="2:3" x14ac:dyDescent="0.35">
      <c r="B34" s="68">
        <v>61010</v>
      </c>
      <c r="C34" s="49" t="s">
        <v>89</v>
      </c>
    </row>
    <row r="35" spans="2:3" x14ac:dyDescent="0.35">
      <c r="B35" s="68">
        <v>61020</v>
      </c>
      <c r="C35" s="49" t="s">
        <v>90</v>
      </c>
    </row>
    <row r="36" spans="2:3" x14ac:dyDescent="0.35">
      <c r="B36" s="68">
        <v>61030</v>
      </c>
      <c r="C36" s="49" t="s">
        <v>91</v>
      </c>
    </row>
    <row r="37" spans="2:3" x14ac:dyDescent="0.35">
      <c r="B37" s="69">
        <v>71000</v>
      </c>
      <c r="C37" s="70" t="s">
        <v>92</v>
      </c>
    </row>
    <row r="38" spans="2:3" x14ac:dyDescent="0.35">
      <c r="B38" s="68">
        <v>71010</v>
      </c>
      <c r="C38" s="49" t="s">
        <v>93</v>
      </c>
    </row>
    <row r="39" spans="2:3" x14ac:dyDescent="0.35">
      <c r="B39" s="68">
        <v>71020</v>
      </c>
      <c r="C39" s="49" t="s">
        <v>94</v>
      </c>
    </row>
    <row r="40" spans="2:3" x14ac:dyDescent="0.35">
      <c r="B40" s="68">
        <v>71030</v>
      </c>
      <c r="C40" s="49" t="s">
        <v>95</v>
      </c>
    </row>
    <row r="41" spans="2:3" x14ac:dyDescent="0.35">
      <c r="B41" s="69">
        <v>81000</v>
      </c>
      <c r="C41" s="70" t="s">
        <v>96</v>
      </c>
    </row>
    <row r="42" spans="2:3" x14ac:dyDescent="0.35">
      <c r="B42" s="68">
        <v>81010</v>
      </c>
      <c r="C42" s="49" t="s">
        <v>97</v>
      </c>
    </row>
    <row r="43" spans="2:3" x14ac:dyDescent="0.35">
      <c r="B43" s="68">
        <v>81020</v>
      </c>
      <c r="C43" s="49" t="s">
        <v>98</v>
      </c>
    </row>
    <row r="44" spans="2:3" x14ac:dyDescent="0.35">
      <c r="B44" s="68">
        <v>81030</v>
      </c>
      <c r="C44" s="49" t="s">
        <v>99</v>
      </c>
    </row>
    <row r="45" spans="2:3" x14ac:dyDescent="0.35">
      <c r="B45" s="69">
        <v>91000</v>
      </c>
      <c r="C45" s="70" t="s">
        <v>100</v>
      </c>
    </row>
    <row r="46" spans="2:3" x14ac:dyDescent="0.35">
      <c r="B46" s="68">
        <v>91010</v>
      </c>
      <c r="C46" s="49" t="s">
        <v>101</v>
      </c>
    </row>
    <row r="47" spans="2:3" x14ac:dyDescent="0.35">
      <c r="B47" s="68">
        <v>91020</v>
      </c>
      <c r="C47" s="49" t="s">
        <v>102</v>
      </c>
    </row>
    <row r="48" spans="2:3" x14ac:dyDescent="0.35">
      <c r="B48" s="68">
        <v>91030</v>
      </c>
      <c r="C48" s="49" t="s">
        <v>103</v>
      </c>
    </row>
    <row r="49" spans="2:3" x14ac:dyDescent="0.35">
      <c r="B49" s="68">
        <v>91040</v>
      </c>
      <c r="C49" s="49" t="s">
        <v>104</v>
      </c>
    </row>
    <row r="50" spans="2:3" x14ac:dyDescent="0.35">
      <c r="B50" s="68">
        <v>91050</v>
      </c>
      <c r="C50" s="49" t="s">
        <v>105</v>
      </c>
    </row>
    <row r="51" spans="2:3" x14ac:dyDescent="0.35">
      <c r="B51" s="68">
        <v>91060</v>
      </c>
      <c r="C51" s="49" t="s">
        <v>106</v>
      </c>
    </row>
    <row r="52" spans="2:3" x14ac:dyDescent="0.35">
      <c r="B52" s="52"/>
      <c r="C52" s="49"/>
    </row>
    <row r="53" spans="2:3" x14ac:dyDescent="0.35">
      <c r="B53" s="52"/>
      <c r="C53" s="49"/>
    </row>
    <row r="54" spans="2:3" x14ac:dyDescent="0.35">
      <c r="B54" s="52"/>
      <c r="C54" s="49"/>
    </row>
    <row r="55" spans="2:3" x14ac:dyDescent="0.35">
      <c r="B55" s="52"/>
      <c r="C55" s="49"/>
    </row>
    <row r="56" spans="2:3" x14ac:dyDescent="0.35">
      <c r="B56" s="52"/>
      <c r="C56" s="49"/>
    </row>
    <row r="57" spans="2:3" x14ac:dyDescent="0.35">
      <c r="B57" s="52"/>
      <c r="C57" s="49"/>
    </row>
    <row r="58" spans="2:3" x14ac:dyDescent="0.35">
      <c r="B58" s="52"/>
      <c r="C58" s="49"/>
    </row>
    <row r="59" spans="2:3" x14ac:dyDescent="0.35">
      <c r="B59" s="52"/>
      <c r="C59" s="49"/>
    </row>
    <row r="60" spans="2:3" x14ac:dyDescent="0.35">
      <c r="B60" s="52"/>
      <c r="C60" s="49"/>
    </row>
    <row r="61" spans="2:3" x14ac:dyDescent="0.35">
      <c r="B61" s="52"/>
      <c r="C61" s="49"/>
    </row>
    <row r="62" spans="2:3" x14ac:dyDescent="0.35">
      <c r="B62" s="52"/>
      <c r="C62" s="49"/>
    </row>
    <row r="63" spans="2:3" ht="15" thickBot="1" x14ac:dyDescent="0.4">
      <c r="B63" s="56"/>
      <c r="C63" s="60"/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Purchase Order </vt:lpstr>
      <vt:lpstr>BOM_SE</vt:lpstr>
      <vt:lpstr>VL</vt:lpstr>
      <vt:lpstr>Poduct_ServiceGroup</vt:lpstr>
      <vt:lpstr>PG</vt:lpstr>
      <vt:lpstr>TAB_PG</vt:lpstr>
      <vt:lpstr>TAB_VEN</vt:lpstr>
      <vt:lpstr>TAB_VN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HFO Desktop</dc:creator>
  <cp:lastModifiedBy>Junaid  Ukaye</cp:lastModifiedBy>
  <cp:lastPrinted>2024-04-23T08:14:00Z</cp:lastPrinted>
  <dcterms:created xsi:type="dcterms:W3CDTF">2020-03-21T12:37:41Z</dcterms:created>
  <dcterms:modified xsi:type="dcterms:W3CDTF">2024-05-18T09:39:27Z</dcterms:modified>
</cp:coreProperties>
</file>